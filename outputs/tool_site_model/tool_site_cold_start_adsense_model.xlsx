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9505a79e6d4a39" /></Relationships>
</file>

<file path=xl/workbook.xml><?xml version="1.0" encoding="utf-8"?>
<x:workbook xmlns:x="http://schemas.openxmlformats.org/spreadsheetml/2006/main">
  <x:sheets>
    <x:sheet xmlns:r="http://schemas.openxmlformats.org/officeDocument/2006/relationships" name="Dashboard" sheetId="1" r:id="R07d6a18b46704059"/>
    <x:sheet xmlns:r="http://schemas.openxmlformats.org/officeDocument/2006/relationships" name="Assumptions" sheetId="2" r:id="Ra7241a4a3a9a469c"/>
    <x:sheet xmlns:r="http://schemas.openxmlformats.org/officeDocument/2006/relationships" name="Monthly Model" sheetId="3" r:id="R3844a73d68ba4b51"/>
    <x:sheet xmlns:r="http://schemas.openxmlformats.org/officeDocument/2006/relationships" name="Sensitivity" sheetId="4" r:id="R4bde2210267e4c91"/>
    <x:sheet xmlns:r="http://schemas.openxmlformats.org/officeDocument/2006/relationships" name="Sources" sheetId="5" r:id="R3393c3c0fc6c496a"/>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0"/>
    <x:numFmt numFmtId="202" formatCode="¥#,##0"/>
    <x:numFmt numFmtId="203" formatCode="$#,##0.00"/>
    <x:numFmt numFmtId="204" formatCode="0%"/>
    <x:numFmt numFmtId="205" formatCode="$0.00"/>
    <x:numFmt numFmtId="206" formatCode="0.00"/>
  </x:numFmts>
  <x:fonts count="7">
    <x:font>
      <x:sz val="11"/>
      <x:name val="Carlito"/>
    </x:font>
    <x:font>
      <x:b/>
      <x:sz val="18"/>
      <x:color rgb="FFFFFF"/>
      <x:name val="Aptos Display"/>
    </x:font>
    <x:font>
      <x:sz val="10"/>
      <x:color rgb="475569"/>
      <x:name val="Aptos"/>
    </x:font>
    <x:font>
      <x:b/>
      <x:sz val="10"/>
      <x:color rgb="0F172A"/>
      <x:name val="Aptos"/>
    </x:font>
    <x:font>
      <x:sz val="10"/>
      <x:color rgb="0F172A"/>
      <x:name val="Aptos"/>
    </x:font>
    <x:font>
      <x:b/>
      <x:sz val="11"/>
      <x:color rgb="FFFFFF"/>
      <x:name val="Aptos"/>
    </x:font>
    <x:font>
      <x:b/>
      <x:sz val="11"/>
      <x:color rgb="0F172A"/>
      <x:name val="Aptos"/>
    </x:font>
  </x:fonts>
  <x:fills count="9">
    <x:fill>
      <x:patternFill patternType="none"/>
    </x:fill>
    <x:fill>
      <x:patternFill patternType="gray125"/>
    </x:fill>
    <x:fill>
      <x:patternFill patternType="solid">
        <x:fgColor rgb="16324F"/>
      </x:patternFill>
    </x:fill>
    <x:fill>
      <x:patternFill patternType="solid">
        <x:fgColor rgb="DBEAFE"/>
      </x:patternFill>
    </x:fill>
    <x:fill>
      <x:patternFill patternType="solid">
        <x:fgColor rgb="FFFFFF"/>
      </x:patternFill>
    </x:fill>
    <x:fill>
      <x:patternFill patternType="solid">
        <x:fgColor rgb="FEF3C7"/>
      </x:patternFill>
    </x:fill>
    <x:fill>
      <x:patternFill patternType="solid">
        <x:fgColor rgb="D97706"/>
      </x:patternFill>
    </x:fill>
    <x:fill>
      <x:patternFill patternType="solid">
        <x:fgColor rgb="2563EB"/>
      </x:patternFill>
    </x:fill>
    <x:fill>
      <x:patternFill patternType="solid">
        <x:fgColor rgb="15803D"/>
      </x:patternFill>
    </x:fill>
  </x:fills>
  <x:borders count="17">
    <x:border/>
    <x:border>
      <x:left style="thin">
        <x:color rgb="CBD5E1"/>
      </x:left>
      <x:right style="thin">
        <x:color rgb="CBD5E1"/>
      </x:right>
      <x:top style="thin">
        <x:color rgb="CBD5E1"/>
      </x:top>
      <x:bottom style="thin">
        <x:color rgb="CBD5E1"/>
      </x:bottom>
    </x:border>
    <x:border>
      <x:left style="thin">
        <x:color rgb="D97706"/>
      </x:left>
      <x:top style="thin">
        <x:color rgb="D97706"/>
      </x:top>
    </x:border>
    <x:border>
      <x:top style="thin">
        <x:color rgb="D97706"/>
      </x:top>
    </x:border>
    <x:border>
      <x:right style="thin">
        <x:color rgb="D97706"/>
      </x:right>
      <x:top style="thin">
        <x:color rgb="D97706"/>
      </x:top>
    </x:border>
    <x:border>
      <x:left style="thin">
        <x:color rgb="D97706"/>
      </x:left>
      <x:bottom style="thin">
        <x:color rgb="D97706"/>
      </x:bottom>
    </x:border>
    <x:border>
      <x:bottom style="thin">
        <x:color rgb="D97706"/>
      </x:bottom>
    </x:border>
    <x:border>
      <x:right style="thin">
        <x:color rgb="D97706"/>
      </x:right>
      <x:bottom style="thin">
        <x:color rgb="D97706"/>
      </x:bottom>
    </x:border>
    <x:border>
      <x:left style="thin">
        <x:color rgb="D97706"/>
      </x:left>
      <x:top style="thin">
        <x:color rgb="D97706"/>
      </x:top>
      <x:bottom style="thin">
        <x:color rgb="D97706"/>
      </x:bottom>
    </x:border>
    <x:border>
      <x:top style="thin">
        <x:color rgb="D97706"/>
      </x:top>
      <x:bottom style="thin">
        <x:color rgb="D97706"/>
      </x:bottom>
    </x:border>
    <x:border>
      <x:right style="thin">
        <x:color rgb="D97706"/>
      </x:right>
      <x:top style="thin">
        <x:color rgb="D97706"/>
      </x:top>
      <x:bottom style="thin">
        <x:color rgb="D97706"/>
      </x:bottom>
    </x:border>
    <x:border>
      <x:left style="thin">
        <x:color rgb="2563EB"/>
      </x:left>
      <x:top style="thin">
        <x:color rgb="2563EB"/>
      </x:top>
      <x:bottom style="thin">
        <x:color rgb="2563EB"/>
      </x:bottom>
    </x:border>
    <x:border>
      <x:top style="thin">
        <x:color rgb="2563EB"/>
      </x:top>
      <x:bottom style="thin">
        <x:color rgb="2563EB"/>
      </x:bottom>
    </x:border>
    <x:border>
      <x:right style="thin">
        <x:color rgb="2563EB"/>
      </x:right>
      <x:top style="thin">
        <x:color rgb="2563EB"/>
      </x:top>
      <x:bottom style="thin">
        <x:color rgb="2563EB"/>
      </x:bottom>
    </x:border>
    <x:border>
      <x:left style="thin">
        <x:color rgb="15803D"/>
      </x:left>
      <x:top style="thin">
        <x:color rgb="15803D"/>
      </x:top>
      <x:bottom style="thin">
        <x:color rgb="15803D"/>
      </x:bottom>
    </x:border>
    <x:border>
      <x:top style="thin">
        <x:color rgb="15803D"/>
      </x:top>
      <x:bottom style="thin">
        <x:color rgb="15803D"/>
      </x:bottom>
    </x:border>
    <x:border>
      <x:right style="thin">
        <x:color rgb="15803D"/>
      </x:right>
      <x:top style="thin">
        <x:color rgb="15803D"/>
      </x:top>
      <x:bottom style="thin">
        <x:color rgb="15803D"/>
      </x:bottom>
    </x:border>
  </x:borders>
  <x:cellStyleXfs count="1">
    <x:xf numFmtId="0" fontId="0" fillId="0" borderId="0"/>
  </x:cellStyleXfs>
  <x:cellXfs count="7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1" fontId="4" fillId="4" borderId="1" xfId="0" applyNumberFormat="1" applyFont="1" applyFill="1" applyBorder="1" applyAlignment="1">
      <x:alignment vertical="center" wrapText="1"/>
    </x:xf>
    <x:xf numFmtId="202" fontId="4" fillId="4" borderId="1"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203" fontId="4"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1" xfId="0" applyNumberFormat="1" applyFont="1" applyFill="1" applyBorder="1" applyAlignment="1">
      <x:alignment vertical="center" wrapText="1"/>
    </x:xf>
    <x:xf numFmtId="204" fontId="4" fillId="5" borderId="1" xfId="0" applyNumberFormat="1" applyFont="1" applyFill="1" applyBorder="1" applyAlignment="1">
      <x:alignment vertical="center" wrapText="1"/>
    </x:xf>
    <x:xf numFmtId="205" fontId="4" fillId="5" borderId="1" xfId="0" applyNumberFormat="1" applyFont="1" applyFill="1" applyBorder="1" applyAlignment="1">
      <x:alignment vertical="center" wrapText="1"/>
    </x:xf>
    <x:xf numFmtId="206" fontId="4" fillId="5" borderId="1" xfId="0" applyNumberFormat="1" applyFont="1" applyFill="1" applyBorder="1" applyAlignment="1">
      <x:alignment vertical="center" wrapText="1"/>
    </x:xf>
    <x:xf numFmtId="204" fontId="4" fillId="4" borderId="1"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8" xfId="0" applyNumberFormat="1" applyFont="1" applyFill="1" applyBorder="1" applyAlignment="1">
      <x:alignment horizontal="center"/>
    </x:xf>
    <x:xf numFmtId="0" fontId="5" fillId="6" borderId="9" xfId="0" applyNumberFormat="1" applyFont="1" applyFill="1" applyBorder="1" applyAlignment="1">
      <x:alignment horizontal="center"/>
    </x:xf>
    <x:xf numFmtId="0" fontId="5" fillId="6" borderId="10"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11" xfId="0" applyNumberFormat="1" applyFont="1" applyFill="1" applyBorder="1"/>
    <x:xf numFmtId="0" fontId="5" fillId="7" borderId="12" xfId="0" applyNumberFormat="1" applyFont="1" applyFill="1" applyBorder="1"/>
    <x:xf numFmtId="0" fontId="5" fillId="7" borderId="13" xfId="0" applyNumberFormat="1" applyFont="1" applyFill="1" applyBorder="1"/>
    <x:xf numFmtId="0" fontId="5" fillId="7" borderId="11" xfId="0" applyNumberFormat="1" applyFont="1" applyFill="1" applyBorder="1" applyAlignment="1">
      <x:alignment horizontal="center"/>
    </x:xf>
    <x:xf numFmtId="0" fontId="5" fillId="7" borderId="12" xfId="0" applyNumberFormat="1" applyFont="1" applyFill="1" applyBorder="1" applyAlignment="1">
      <x:alignment horizontal="center"/>
    </x:xf>
    <x:xf numFmtId="0" fontId="5" fillId="7" borderId="13" xfId="0" applyNumberFormat="1" applyFont="1" applyFill="1" applyBorder="1" applyAlignment="1">
      <x:alignment horizontal="center"/>
    </x:xf>
    <x:xf numFmtId="0" fontId="0" fillId="8" borderId="0" xfId="0" applyNumberFormat="1" applyFont="1" applyFill="1" applyBorder="1"/>
    <x:xf numFmtId="0" fontId="5" fillId="8" borderId="0" xfId="0" applyNumberFormat="1" applyFont="1" applyFill="1" applyBorder="1"/>
    <x:xf numFmtId="0" fontId="5" fillId="8" borderId="14" xfId="0" applyNumberFormat="1" applyFont="1" applyFill="1" applyBorder="1"/>
    <x:xf numFmtId="0" fontId="5" fillId="8" borderId="15" xfId="0" applyNumberFormat="1" applyFont="1" applyFill="1" applyBorder="1"/>
    <x:xf numFmtId="0" fontId="5" fillId="8" borderId="16" xfId="0" applyNumberFormat="1" applyFont="1" applyFill="1" applyBorder="1"/>
    <x:xf numFmtId="0" fontId="5" fillId="8" borderId="14" xfId="0" applyNumberFormat="1" applyFont="1" applyFill="1" applyBorder="1" applyAlignment="1">
      <x:alignment horizontal="center"/>
    </x:xf>
    <x:xf numFmtId="0" fontId="5" fillId="8" borderId="15" xfId="0" applyNumberFormat="1" applyFont="1" applyFill="1" applyBorder="1" applyAlignment="1">
      <x:alignment horizontal="center"/>
    </x:xf>
    <x:xf numFmtId="0" fontId="5" fillId="8" borderId="16" xfId="0" applyNumberFormat="1" applyFont="1" applyFill="1" applyBorder="1" applyAlignment="1">
      <x:alignment horizontal="center"/>
    </x:xf>
    <x:xf numFmtId="0" fontId="6" fillId="5" borderId="0" xfId="0" applyNumberFormat="1" applyFont="1" applyFill="1" applyBorder="1"/>
    <x:xf numFmtId="0" fontId="6" fillId="5" borderId="1" xfId="0" applyNumberFormat="1" applyFont="1" applyFill="1" applyBorder="1"/>
    <x:xf numFmtId="0" fontId="3" fillId="2" borderId="0" xfId="0" applyNumberFormat="1" applyFont="1" applyFill="1" applyBorder="1" applyAlignment="1">
      <x:alignment horizontal="left" vertical="center"/>
    </x:xf>
    <x:xf numFmtId="0" fontId="4"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0a9eba77c547ed" /><Relationship Type="http://schemas.openxmlformats.org/officeDocument/2006/relationships/theme" Target="/xl/theme/theme1.xml" Id="R65753a747fbb4aa4" /><Relationship Type="http://schemas.openxmlformats.org/officeDocument/2006/relationships/sharedStrings" Target="/xl/sharedStrings.xml" Id="R5d15938b0aa54054" /><Relationship Type="http://schemas.openxmlformats.org/officeDocument/2006/relationships/worksheet" Target="/xl/worksheets/sheet1.xml" Id="R07d6a18b46704059" /><Relationship Type="http://schemas.openxmlformats.org/officeDocument/2006/relationships/worksheet" Target="/xl/worksheets/sheet2.xml" Id="Ra7241a4a3a9a469c" /><Relationship Type="http://schemas.openxmlformats.org/officeDocument/2006/relationships/worksheet" Target="/xl/worksheets/sheet3.xml" Id="R3844a73d68ba4b51" /><Relationship Type="http://schemas.openxmlformats.org/officeDocument/2006/relationships/worksheet" Target="/xl/worksheets/sheet4.xml" Id="R4bde2210267e4c91" /><Relationship Type="http://schemas.openxmlformats.org/officeDocument/2006/relationships/worksheet" Target="/xl/worksheets/sheet5.xml" Id="R3393c3c0fc6c496a" /></Relationships>
</file>

<file path=xl/drawings/_rels/drawing1.xml.rels>&#65279;<?xml version="1.0" encoding="utf-8"?><Relationships xmlns="http://schemas.openxmlformats.org/package/2006/relationships"><Relationship Type="http://schemas.openxmlformats.org/officeDocument/2006/relationships/chart" Target="/xl/drawings/charts/chart1.xml" Id="R42b16c48f2984ff4" /><Relationship Type="http://schemas.openxmlformats.org/officeDocument/2006/relationships/chart" Target="/xl/drawings/charts/chart2.xml" Id="R19721811f8ab48f1" /></Relationships>
</file>

<file path=xl/drawings/charts/chart1.xml><?xml version="1.0" encoding="utf-8"?>
<c:chartSpace xmlns:c="http://schemas.openxmlformats.org/drawingml/2006/chart">
  <c:lang val="en-US"/>
  <c:roundedCorners val="0"/>
  <c:chart>
    <c:plotArea>
      <c:layout/>
      <c:lineChart>
        <c:ser>
          <c:idx val="0"/>
          <c:order val="0"/>
          <c:tx>
            <c:v>Conservative visits</c:v>
          </c:tx>
          <c:cat>
            <c:strRef>
              <c:f>'Dashboard'!$A$19:$A$42</c:f>
              <c:strCache>
                <c:ptCount val="0"/>
              </c:strCache>
            </c:strRef>
          </c:cat>
          <c:val>
            <c:numRef>
              <c:f>'Dashboard'!$B$19:$B$42</c:f>
              <c:numCache>
                <c:formatCode>#,##0</c:formatCode>
                <c:ptCount val="0"/>
              </c:numCache>
            </c:numRef>
          </c:val>
          <c:smooth val="0"/>
        </c:ser>
        <c:ser>
          <c:idx val="1"/>
          <c:order val="1"/>
          <c:tx>
            <c:v>Base visits</c:v>
          </c:tx>
          <c:cat>
            <c:strRef>
              <c:f>'Dashboard'!$A$19:$A$42</c:f>
              <c:strCache>
                <c:ptCount val="0"/>
              </c:strCache>
            </c:strRef>
          </c:cat>
          <c:val>
            <c:numRef>
              <c:f>'Dashboard'!$C$19:$C$42</c:f>
              <c:numCache>
                <c:formatCode>#,##0</c:formatCode>
                <c:ptCount val="0"/>
              </c:numCache>
            </c:numRef>
          </c:val>
          <c:smooth val="0"/>
        </c:ser>
        <c:ser>
          <c:idx val="2"/>
          <c:order val="2"/>
          <c:tx>
            <c:v>Optimistic visits</c:v>
          </c:tx>
          <c:cat>
            <c:strRef>
              <c:f>'Dashboard'!$A$19:$A$42</c:f>
              <c:strCache>
                <c:ptCount val="0"/>
              </c:strCache>
            </c:strRef>
          </c:cat>
          <c:val>
            <c:numRef>
              <c:f>'Dashboard'!$D$19:$D$42</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lineChart>
        <c:ser>
          <c:idx val="0"/>
          <c:order val="0"/>
          <c:tx>
            <c:v>Conservative USD</c:v>
          </c:tx>
          <c:cat>
            <c:strRef>
              <c:f>'Dashboard'!$F$19:$F$42</c:f>
              <c:strCache>
                <c:ptCount val="0"/>
              </c:strCache>
            </c:strRef>
          </c:cat>
          <c:val>
            <c:numRef>
              <c:f>'Dashboard'!$G$19:$G$42</c:f>
              <c:numCache>
                <c:formatCode>$#,##0.00</c:formatCode>
                <c:ptCount val="0"/>
              </c:numCache>
            </c:numRef>
          </c:val>
          <c:smooth val="0"/>
        </c:ser>
        <c:ser>
          <c:idx val="1"/>
          <c:order val="1"/>
          <c:tx>
            <c:v>Base USD</c:v>
          </c:tx>
          <c:cat>
            <c:strRef>
              <c:f>'Dashboard'!$F$19:$F$42</c:f>
              <c:strCache>
                <c:ptCount val="0"/>
              </c:strCache>
            </c:strRef>
          </c:cat>
          <c:val>
            <c:numRef>
              <c:f>'Dashboard'!$H$19:$H$42</c:f>
              <c:numCache>
                <c:formatCode>$#,##0.00</c:formatCode>
                <c:ptCount val="0"/>
              </c:numCache>
            </c:numRef>
          </c:val>
          <c:smooth val="0"/>
        </c:ser>
        <c:ser>
          <c:idx val="2"/>
          <c:order val="2"/>
          <c:tx>
            <c:v>Optimistic USD</c:v>
          </c:tx>
          <c:cat>
            <c:strRef>
              <c:f>'Dashboard'!$F$19:$F$42</c:f>
              <c:strCache>
                <c:ptCount val="0"/>
              </c:strCache>
            </c:strRef>
          </c:cat>
          <c:val>
            <c:numRef>
              <c:f>'Dashboard'!$I$19:$I$42</c:f>
              <c:numCache>
                <c:formatCode>$#,##0.00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3</xdr:row>
      <xdr:rowOff>0</xdr:rowOff>
    </xdr:from>
    <xdr:to>
      <xdr:col>18</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2b16c48f2984ff4"/>
        </a:graphicData>
      </a:graphic>
    </xdr:graphicFrame>
    <xdr:clientData/>
  </xdr:twoCellAnchor>
  <xdr:twoCellAnchor>
    <xdr:from>
      <xdr:col>10</xdr:col>
      <xdr:colOff>0</xdr:colOff>
      <xdr:row>19</xdr:row>
      <xdr:rowOff>0</xdr:rowOff>
    </xdr:from>
    <xdr:to>
      <xdr:col>18</xdr:col>
      <xdr:colOff>0</xdr:colOff>
      <xdr:row>33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9721811f8ab48f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bad94f7a5f94302" /></Relationships>
</file>

<file path=xl/worksheets/sheet1.xml><?xml version="1.0" encoding="utf-8"?>
<x:worksheet xmlns:x="http://schemas.openxmlformats.org/spreadsheetml/2006/main">
  <x:sheetFormatPr defaultRowHeight="15"/>
  <x:cols>
    <x:col min="1" max="1" width="85.02999877929688" hidden="0" customWidth="1"/>
    <x:col min="2" max="2" width="26.5" hidden="0" customWidth="1"/>
    <x:col min="3" max="3" width="31.040000915527344" hidden="0" customWidth="1"/>
    <x:col min="4" max="4" width="25.520000457763672" hidden="0" customWidth="1"/>
    <x:col min="5" max="5" width="13.869999885559082" hidden="0" customWidth="1"/>
    <x:col min="6" max="6" width="13.869999885559082" hidden="0" customWidth="1"/>
    <x:col min="7" max="7" width="14.109999656677246" hidden="0" customWidth="1"/>
    <x:col min="8" max="8" width="12.520000457763672" hidden="0" customWidth="1"/>
    <x:col min="9" max="9" width="15.829999923706055" hidden="0" customWidth="1"/>
    <x:col min="11" max="11" width="9.6899995803833" hidden="0" customWidth="1"/>
    <x:col min="12" max="12" width="200" hidden="0" customWidth="1"/>
  </x:cols>
  <x:sheetData>
    <x:row r="1">
      <x:c r="A1" s="68" t="str">
        <x:v>Tool Site Cold Start SEO + AdSense Model</x:v>
      </x:c>
      <x:c r="B1" s="69"/>
      <x:c r="C1" s="69"/>
      <x:c r="D1" s="69"/>
      <x:c r="E1" s="69"/>
      <x:c r="F1" s="69"/>
      <x:c r="G1" s="69"/>
      <x:c r="H1" s="69"/>
      <x:c r="I1" s="69"/>
      <x:c r="J1" s="69"/>
      <x:c r="K1" s="31" t="str">
        <x:v>Interpretation</x:v>
      </x:c>
      <x:c r="L1" s="32" t="str">
        <x:v>This model is intentionally scenario-based. Real traffic depends on indexing, query fit, title CTR, backlinks, SERP layout, seasonality, and content quality. Real AdSense earnings depend on served ads, geography, devices, advertiser demand, ad placement, and policy status.</x:v>
      </x:c>
      <x:c r="M1" s="32"/>
      <x:c r="N1" s="32"/>
      <x:c r="O1" s="32"/>
      <x:c r="P1" s="32"/>
      <x:c r="Q1" s="32"/>
      <x:c r="R1" s="33"/>
      <x:c r="S1" s="69"/>
      <x:c r="T1" s="69"/>
      <x:c r="U1" s="69"/>
      <x:c r="V1" s="69"/>
      <x:c r="W1" s="69"/>
      <x:c r="X1" s="69"/>
      <x:c r="Y1" s="69"/>
      <x:c r="Z1" s="69"/>
    </x:row>
    <x:row r="2">
      <x:c r="A2" s="7" t="str">
        <x:v>Google SEO-only cold-start forecast for HomeCalc and future tool sites. Edit assumptions in the Assumptions sheet.</x:v>
      </x:c>
      <x:c r="K2" s="34"/>
      <x:c r="L2" s="35"/>
      <x:c r="M2" s="35"/>
      <x:c r="N2" s="35"/>
      <x:c r="O2" s="35"/>
      <x:c r="P2" s="35"/>
      <x:c r="Q2" s="35"/>
      <x:c r="R2" s="36"/>
    </x:row>
    <x:row r="4">
      <x:c r="A4" s="12" t="str">
        <x:v>Scenario</x:v>
      </x:c>
      <x:c r="B4" s="12" t="str">
        <x:v>M6 organic visits</x:v>
      </x:c>
      <x:c r="C4" s="12" t="str">
        <x:v>M12 organic visits</x:v>
      </x:c>
      <x:c r="D4" s="12" t="str">
        <x:v>M24 organic visits</x:v>
      </x:c>
      <x:c r="E4" s="12" t="str">
        <x:v>M12 revenue USD</x:v>
      </x:c>
      <x:c r="F4" s="12" t="str">
        <x:v>M24 revenue USD</x:v>
      </x:c>
      <x:c r="G4" s="12" t="str">
        <x:v>First 12 mo USD</x:v>
      </x:c>
      <x:c r="H4" s="12" t="str">
        <x:v>First 24 mo USD</x:v>
      </x:c>
      <x:c r="I4" s="12" t="str">
        <x:v>First 24 mo CNY</x:v>
      </x:c>
    </x:row>
    <x:row r="5">
      <x:c r="A5" s="21" t="str">
        <x:v>Conservative</x:v>
      </x:c>
      <x:c r="B5" s="18" t="n">
        <x:f>'Monthly Model'!E11</x:f>
        <x:v>71.50000000000001</x:v>
      </x:c>
      <x:c r="C5" s="18" t="n">
        <x:f>'Monthly Model'!E17</x:f>
        <x:v>471.5</x:v>
      </x:c>
      <x:c r="D5" s="18" t="n">
        <x:f>'Monthly Model'!E29</x:f>
        <x:v>1071.5</x:v>
      </x:c>
      <x:c r="E5" s="19" t="n">
        <x:f>'Monthly Model'!G17</x:f>
        <x:v>0.67896</x:v>
      </x:c>
      <x:c r="F5" s="19" t="n">
        <x:f>'Monthly Model'!G29</x:f>
        <x:v>1.54296</x:v>
      </x:c>
      <x:c r="G5" s="19" t="n">
        <x:f>'Monthly Model'!H17</x:f>
        <x:v>2.66328</x:v>
      </x:c>
      <x:c r="H5" s="19" t="n">
        <x:f>'Monthly Model'!H29</x:f>
        <x:v>16.4268</x:v>
      </x:c>
      <x:c r="I5" s="20" t="n">
        <x:f>'Monthly Model'!J29</x:f>
        <x:v>118.27296</x:v>
      </x:c>
    </x:row>
    <x:row r="6">
      <x:c r="A6" s="21" t="str">
        <x:v>Base</x:v>
      </x:c>
      <x:c r="B6" s="18" t="n">
        <x:f>'Monthly Model'!M11</x:f>
        <x:v>478.5</x:v>
      </x:c>
      <x:c r="C6" s="18" t="n">
        <x:f>'Monthly Model'!M17</x:f>
        <x:v>2421</x:v>
      </x:c>
      <x:c r="D6" s="18" t="n">
        <x:f>'Monthly Model'!M29</x:f>
        <x:v>6021</x:v>
      </x:c>
      <x:c r="E6" s="19" t="n">
        <x:f>'Monthly Model'!O17</x:f>
        <x:v>10.8945</x:v>
      </x:c>
      <x:c r="F6" s="19" t="n">
        <x:f>'Monthly Model'!O29</x:f>
        <x:v>27.0945</x:v>
      </x:c>
      <x:c r="G6" s="19" t="n">
        <x:f>'Monthly Model'!P17</x:f>
        <x:v>46.90575</x:v>
      </x:c>
      <x:c r="H6" s="19" t="n">
        <x:f>'Monthly Model'!P29</x:f>
        <x:v>282.93975</x:v>
      </x:c>
      <x:c r="I6" s="20" t="n">
        <x:f>'Monthly Model'!R29</x:f>
        <x:v>2037.1662000000001</x:v>
      </x:c>
    </x:row>
    <x:row r="7">
      <x:c r="A7" s="21" t="str">
        <x:v>Optimistic</x:v>
      </x:c>
      <x:c r="B7" s="18" t="n">
        <x:f>'Monthly Model'!U11</x:f>
        <x:v>2818.8</x:v>
      </x:c>
      <x:c r="C7" s="18" t="n">
        <x:f>'Monthly Model'!U17</x:f>
        <x:v>11548.8</x:v>
      </x:c>
      <x:c r="D7" s="18" t="n">
        <x:f>'Monthly Model'!U29</x:f>
        <x:v>28828.8</x:v>
      </x:c>
      <x:c r="E7" s="19" t="n">
        <x:f>'Monthly Model'!W17</x:f>
        <x:v>118.49068799999999</x:v>
      </x:c>
      <x:c r="F7" s="19" t="n">
        <x:f>'Monthly Model'!W29</x:f>
        <x:v>295.78348800000003</x:v>
      </x:c>
      <x:c r="G7" s="19" t="n">
        <x:f>'Monthly Model'!X17</x:f>
        <x:v>545.286168</x:v>
      </x:c>
      <x:c r="H7" s="19" t="n">
        <x:f>'Monthly Model'!X29</x:f>
        <x:v>3119.5776239999996</x:v>
      </x:c>
      <x:c r="I7" s="20" t="n">
        <x:f>'Monthly Model'!Z29</x:f>
        <x:v>22460.958892799998</x:v>
      </x:c>
    </x:row>
    <x:row r="10">
      <x:c r="A10" s="12" t="str">
        <x:v>Model readout</x:v>
      </x:c>
      <x:c r="B10" s="12" t="str">
        <x:v>Conservative</x:v>
      </x:c>
      <x:c r="C10" s="12" t="str">
        <x:v>Base</x:v>
      </x:c>
      <x:c r="D10" s="12" t="str">
        <x:v>Optimistic</x:v>
      </x:c>
    </x:row>
    <x:row r="11">
      <x:c r="A11" s="17" t="str">
        <x:v>Traffic shape</x:v>
      </x:c>
      <x:c r="B11" s="17" t="str">
        <x:v>slow indexing + thin content velocity</x:v>
      </x:c>
      <x:c r="C11" s="17" t="str">
        <x:v>steady content shipping + normal indexing</x:v>
      </x:c>
      <x:c r="D11" s="17" t="str">
        <x:v>fast publishing + strong long-tail fit</x:v>
      </x:c>
    </x:row>
    <x:row r="12">
      <x:c r="A12" s="17" t="str">
        <x:v>Meaning of M12</x:v>
      </x:c>
      <x:c r="B12" s="17" t="str">
        <x:v>Still tiny; validate before scaling</x:v>
      </x:c>
      <x:c r="C12" s="17" t="str">
        <x:v>First meaningful signal window</x:v>
      </x:c>
      <x:c r="D12" s="17" t="str">
        <x:v>Could justify a second site</x:v>
      </x:c>
    </x:row>
    <x:row r="13">
      <x:c r="A13" s="17" t="str">
        <x:v>Meaning of M24</x:v>
      </x:c>
      <x:c r="B13" s="17" t="str">
        <x:v>Side project income only</x:v>
      </x:c>
      <x:c r="C13" s="17" t="str">
        <x:v>Small but compounding content asset</x:v>
      </x:c>
      <x:c r="D13" s="17" t="str">
        <x:v>Early portfolio-level revenue</x:v>
      </x:c>
    </x:row>
    <x:row r="14">
      <x:c r="A14" s="17" t="str">
        <x:v>Primary risk</x:v>
      </x:c>
      <x:c r="B14" s="17" t="str">
        <x:v>No topical authority</x:v>
      </x:c>
      <x:c r="C14" s="17" t="str">
        <x:v>RPM lower than assumed</x:v>
      </x:c>
      <x:c r="D14" s="17" t="str">
        <x:v>Content quality drops while scaling</x:v>
      </x:c>
    </x:row>
    <x:row r="15">
      <x:c r="A15" s="17" t="str">
        <x:v>Management action</x:v>
      </x:c>
      <x:c r="B15" s="17" t="str">
        <x:v>Improve first 10 pages</x:v>
      </x:c>
      <x:c r="C15" s="17" t="str">
        <x:v>Ship 4 pages/month and monitor GSC</x:v>
      </x:c>
      <x:c r="D15" s="17" t="str">
        <x:v>Add tools, not just articles</x:v>
      </x:c>
    </x:row>
    <x:row r="18">
      <x:c r="A18" s="12" t="str">
        <x:v>Month</x:v>
      </x:c>
      <x:c r="B18" s="12" t="str">
        <x:v>Conservative visits</x:v>
      </x:c>
      <x:c r="C18" s="12" t="str">
        <x:v>Base visits</x:v>
      </x:c>
      <x:c r="D18" s="12" t="str">
        <x:v>Optimistic visits</x:v>
      </x:c>
      <x:c r="F18" s="12" t="str">
        <x:v>Month</x:v>
      </x:c>
      <x:c r="G18" s="12" t="str">
        <x:v>Conservative USD</x:v>
      </x:c>
      <x:c r="H18" s="12" t="str">
        <x:v>Base USD</x:v>
      </x:c>
      <x:c r="I18" s="12" t="str">
        <x:v>Optimistic USD</x:v>
      </x:c>
    </x:row>
    <x:row r="19">
      <x:c r="A19" s="17" t="n">
        <x:f>'Monthly Model'!A6</x:f>
        <x:v>1</x:v>
      </x:c>
      <x:c r="B19" s="18" t="n">
        <x:f>'Monthly Model'!E6</x:f>
        <x:v>0</x:v>
      </x:c>
      <x:c r="C19" s="18" t="n">
        <x:f>'Monthly Model'!M6</x:f>
        <x:v>0</x:v>
      </x:c>
      <x:c r="D19" s="18" t="n">
        <x:f>'Monthly Model'!U6</x:f>
        <x:v>64.8</x:v>
      </x:c>
      <x:c r="F19" s="17" t="n">
        <x:f>'Monthly Model'!A6</x:f>
        <x:v>1</x:v>
      </x:c>
      <x:c r="G19" s="22" t="n">
        <x:f>'Monthly Model'!G6</x:f>
        <x:v>0</x:v>
      </x:c>
      <x:c r="H19" s="22" t="n">
        <x:f>'Monthly Model'!O6</x:f>
        <x:v>0</x:v>
      </x:c>
      <x:c r="I19" s="22" t="n">
        <x:f>'Monthly Model'!W6</x:f>
        <x:v>0</x:v>
      </x:c>
    </x:row>
    <x:row r="20">
      <x:c r="A20" s="17" t="n">
        <x:f>'Monthly Model'!A7</x:f>
        <x:v>2</x:v>
      </x:c>
      <x:c r="B20" s="18" t="n">
        <x:f>'Monthly Model'!E7</x:f>
        <x:v>3.0000000000000004</x:v>
      </x:c>
      <x:c r="C20" s="18" t="n">
        <x:f>'Monthly Model'!M7</x:f>
        <x:v>21.000000000000004</x:v>
      </x:c>
      <x:c r="D20" s="18" t="n">
        <x:f>'Monthly Model'!U7</x:f>
        <x:v>190.8</x:v>
      </x:c>
      <x:c r="F20" s="17" t="n">
        <x:f>'Monthly Model'!A7</x:f>
        <x:v>2</x:v>
      </x:c>
      <x:c r="G20" s="22" t="n">
        <x:f>'Monthly Model'!G7</x:f>
        <x:v>0</x:v>
      </x:c>
      <x:c r="H20" s="22" t="n">
        <x:f>'Monthly Model'!O7</x:f>
        <x:v>0.09450000000000001</x:v>
      </x:c>
      <x:c r="I20" s="22" t="n">
        <x:f>'Monthly Model'!W7</x:f>
        <x:v>1.9576080000000002</x:v>
      </x:c>
    </x:row>
    <x:row r="21">
      <x:c r="A21" s="17" t="n">
        <x:f>'Monthly Model'!A8</x:f>
        <x:v>3</x:v>
      </x:c>
      <x:c r="B21" s="18" t="n">
        <x:f>'Monthly Model'!E8</x:f>
        <x:v>9.5</x:v>
      </x:c>
      <x:c r="C21" s="18" t="n">
        <x:f>'Monthly Model'!M8</x:f>
        <x:v>58.5</x:v>
      </x:c>
      <x:c r="D21" s="18" t="n">
        <x:f>'Monthly Model'!U8</x:f>
        <x:v>424.80000000000007</x:v>
      </x:c>
      <x:c r="F21" s="17" t="n">
        <x:f>'Monthly Model'!A8</x:f>
        <x:v>3</x:v>
      </x:c>
      <x:c r="G21" s="22" t="n">
        <x:f>'Monthly Model'!G8</x:f>
        <x:v>0.013680000000000001</x:v>
      </x:c>
      <x:c r="H21" s="22" t="n">
        <x:f>'Monthly Model'!O8</x:f>
        <x:v>0.26325</x:v>
      </x:c>
      <x:c r="I21" s="22" t="n">
        <x:f>'Monthly Model'!W8</x:f>
        <x:v>4.358448000000001</x:v>
      </x:c>
    </x:row>
    <x:row r="22">
      <x:c r="A22" s="17" t="n">
        <x:f>'Monthly Model'!A9</x:f>
        <x:v>4</x:v>
      </x:c>
      <x:c r="B22" s="18" t="n">
        <x:f>'Monthly Model'!E9</x:f>
        <x:v>23.000000000000004</x:v>
      </x:c>
      <x:c r="C22" s="18" t="n">
        <x:f>'Monthly Model'!M9</x:f>
        <x:v>126.00000000000001</x:v>
      </x:c>
      <x:c r="D22" s="18" t="n">
        <x:f>'Monthly Model'!U9</x:f>
        <x:v>892.8</x:v>
      </x:c>
      <x:c r="F22" s="17" t="n">
        <x:f>'Monthly Model'!A9</x:f>
        <x:v>4</x:v>
      </x:c>
      <x:c r="G22" s="22" t="n">
        <x:f>'Monthly Model'!G9</x:f>
        <x:v>0.033120000000000004</x:v>
      </x:c>
      <x:c r="H22" s="22" t="n">
        <x:f>'Monthly Model'!O9</x:f>
        <x:v>0.5670000000000001</x:v>
      </x:c>
      <x:c r="I22" s="22" t="n">
        <x:f>'Monthly Model'!W9</x:f>
        <x:v>9.160127999999998</x:v>
      </x:c>
    </x:row>
    <x:row r="23">
      <x:c r="A23" s="17" t="n">
        <x:f>'Monthly Model'!A10</x:f>
        <x:v>5</x:v>
      </x:c>
      <x:c r="B23" s="18" t="n">
        <x:f>'Monthly Model'!E10</x:f>
        <x:v>41.5</x:v>
      </x:c>
      <x:c r="C23" s="18" t="n">
        <x:f>'Monthly Model'!M10</x:f>
        <x:v>261</x:v>
      </x:c>
      <x:c r="D23" s="18" t="n">
        <x:f>'Monthly Model'!U10</x:f>
        <x:v>1666.8</x:v>
      </x:c>
      <x:c r="F23" s="17" t="n">
        <x:f>'Monthly Model'!A10</x:f>
        <x:v>5</x:v>
      </x:c>
      <x:c r="G23" s="22" t="n">
        <x:f>'Monthly Model'!G10</x:f>
        <x:v>0.05976000000000001</x:v>
      </x:c>
      <x:c r="H23" s="22" t="n">
        <x:f>'Monthly Model'!O10</x:f>
        <x:v>1.1745</x:v>
      </x:c>
      <x:c r="I23" s="22" t="n">
        <x:f>'Monthly Model'!W10</x:f>
        <x:v>17.101368</x:v>
      </x:c>
    </x:row>
    <x:row r="24">
      <x:c r="A24" s="17" t="n">
        <x:f>'Monthly Model'!A11</x:f>
        <x:v>6</x:v>
      </x:c>
      <x:c r="B24" s="18" t="n">
        <x:f>'Monthly Model'!E11</x:f>
        <x:v>71.50000000000001</x:v>
      </x:c>
      <x:c r="C24" s="18" t="n">
        <x:f>'Monthly Model'!M11</x:f>
        <x:v>478.5</x:v>
      </x:c>
      <x:c r="D24" s="18" t="n">
        <x:f>'Monthly Model'!U11</x:f>
        <x:v>2818.8</x:v>
      </x:c>
      <x:c r="F24" s="17" t="n">
        <x:f>'Monthly Model'!A11</x:f>
        <x:v>6</x:v>
      </x:c>
      <x:c r="G24" s="22" t="n">
        <x:f>'Monthly Model'!G11</x:f>
        <x:v>0.10296000000000002</x:v>
      </x:c>
      <x:c r="H24" s="22" t="n">
        <x:f>'Monthly Model'!O11</x:f>
        <x:v>2.15325</x:v>
      </x:c>
      <x:c r="I24" s="22" t="n">
        <x:f>'Monthly Model'!W11</x:f>
        <x:v>28.920888</x:v>
      </x:c>
    </x:row>
    <x:row r="25">
      <x:c r="A25" s="17" t="n">
        <x:f>'Monthly Model'!A12</x:f>
        <x:v>7</x:v>
      </x:c>
      <x:c r="B25" s="18" t="n">
        <x:f>'Monthly Model'!E12</x:f>
        <x:v>111.5</x:v>
      </x:c>
      <x:c r="C25" s="18" t="n">
        <x:f>'Monthly Model'!M12</x:f>
        <x:v>740.9999999999999</x:v>
      </x:c>
      <x:c r="D25" s="18" t="n">
        <x:f>'Monthly Model'!U12</x:f>
        <x:v>4096.799999999999</x:v>
      </x:c>
      <x:c r="F25" s="17" t="n">
        <x:f>'Monthly Model'!A12</x:f>
        <x:v>7</x:v>
      </x:c>
      <x:c r="G25" s="22" t="n">
        <x:f>'Monthly Model'!G12</x:f>
        <x:v>0.16056</x:v>
      </x:c>
      <x:c r="H25" s="22" t="n">
        <x:f>'Monthly Model'!O12</x:f>
        <x:v>3.3344999999999994</x:v>
      </x:c>
      <x:c r="I25" s="22" t="n">
        <x:f>'Monthly Model'!W12</x:f>
        <x:v>42.03316799999999</x:v>
      </x:c>
    </x:row>
    <x:row r="26">
      <x:c r="A26" s="17" t="n">
        <x:f>'Monthly Model'!A13</x:f>
        <x:v>8</x:v>
      </x:c>
      <x:c r="B26" s="18" t="n">
        <x:f>'Monthly Model'!E13</x:f>
        <x:v>171.5</x:v>
      </x:c>
      <x:c r="C26" s="18" t="n">
        <x:f>'Monthly Model'!M13</x:f>
        <x:v>1048.5</x:v>
      </x:c>
      <x:c r="D26" s="18" t="n">
        <x:f>'Monthly Model'!U13</x:f>
        <x:v>5590.8</x:v>
      </x:c>
      <x:c r="F26" s="17" t="n">
        <x:f>'Monthly Model'!A13</x:f>
        <x:v>8</x:v>
      </x:c>
      <x:c r="G26" s="22" t="n">
        <x:f>'Monthly Model'!G13</x:f>
        <x:v>0.24695999999999999</x:v>
      </x:c>
      <x:c r="H26" s="22" t="n">
        <x:f>'Monthly Model'!O13</x:f>
        <x:v>4.71825</x:v>
      </x:c>
      <x:c r="I26" s="22" t="n">
        <x:f>'Monthly Model'!W13</x:f>
        <x:v>57.361608</x:v>
      </x:c>
    </x:row>
    <x:row r="27">
      <x:c r="A27" s="17" t="n">
        <x:f>'Monthly Model'!A14</x:f>
        <x:v>9</x:v>
      </x:c>
      <x:c r="B27" s="18" t="n">
        <x:f>'Monthly Model'!E14</x:f>
        <x:v>238.99999999999997</x:v>
      </x:c>
      <x:c r="C27" s="18" t="n">
        <x:f>'Monthly Model'!M14</x:f>
        <x:v>1401</x:v>
      </x:c>
      <x:c r="D27" s="18" t="n">
        <x:f>'Monthly Model'!U14</x:f>
        <x:v>7138.799999999999</x:v>
      </x:c>
      <x:c r="F27" s="17" t="n">
        <x:f>'Monthly Model'!A14</x:f>
        <x:v>9</x:v>
      </x:c>
      <x:c r="G27" s="22" t="n">
        <x:f>'Monthly Model'!G14</x:f>
        <x:v>0.34415999999999997</x:v>
      </x:c>
      <x:c r="H27" s="22" t="n">
        <x:f>'Monthly Model'!O14</x:f>
        <x:v>6.3045</x:v>
      </x:c>
      <x:c r="I27" s="22" t="n">
        <x:f>'Monthly Model'!W14</x:f>
        <x:v>73.24408799999999</x:v>
      </x:c>
    </x:row>
    <x:row r="28">
      <x:c r="A28" s="17" t="n">
        <x:f>'Monthly Model'!A15</x:f>
        <x:v>10</x:v>
      </x:c>
      <x:c r="B28" s="18" t="n">
        <x:f>'Monthly Model'!E15</x:f>
        <x:v>313.99999999999994</x:v>
      </x:c>
      <x:c r="C28" s="18" t="n">
        <x:f>'Monthly Model'!M15</x:f>
        <x:v>1746</x:v>
      </x:c>
      <x:c r="D28" s="18" t="n">
        <x:f>'Monthly Model'!U15</x:f>
        <x:v>8668.8</x:v>
      </x:c>
      <x:c r="F28" s="17" t="n">
        <x:f>'Monthly Model'!A15</x:f>
        <x:v>10</x:v>
      </x:c>
      <x:c r="G28" s="22" t="n">
        <x:f>'Monthly Model'!G15</x:f>
        <x:v>0.4521599999999999</x:v>
      </x:c>
      <x:c r="H28" s="22" t="n">
        <x:f>'Monthly Model'!O15</x:f>
        <x:v>7.857</x:v>
      </x:c>
      <x:c r="I28" s="22" t="n">
        <x:f>'Monthly Model'!W15</x:f>
        <x:v>88.94188799999999</x:v>
      </x:c>
    </x:row>
    <x:row r="29">
      <x:c r="A29" s="17" t="n">
        <x:f>'Monthly Model'!A16</x:f>
        <x:v>11</x:v>
      </x:c>
      <x:c r="B29" s="18" t="n">
        <x:f>'Monthly Model'!E16</x:f>
        <x:v>396.5</x:v>
      </x:c>
      <x:c r="C29" s="18" t="n">
        <x:f>'Monthly Model'!M16</x:f>
        <x:v>2121</x:v>
      </x:c>
      <x:c r="D29" s="18" t="n">
        <x:f>'Monthly Model'!U16</x:f>
        <x:v>10108.8</x:v>
      </x:c>
      <x:c r="F29" s="17" t="n">
        <x:f>'Monthly Model'!A16</x:f>
        <x:v>11</x:v>
      </x:c>
      <x:c r="G29" s="22" t="n">
        <x:f>'Monthly Model'!G16</x:f>
        <x:v>0.57096</x:v>
      </x:c>
      <x:c r="H29" s="22" t="n">
        <x:f>'Monthly Model'!O16</x:f>
        <x:v>9.5445</x:v>
      </x:c>
      <x:c r="I29" s="22" t="n">
        <x:f>'Monthly Model'!W16</x:f>
        <x:v>103.71628799999999</x:v>
      </x:c>
    </x:row>
    <x:row r="30">
      <x:c r="A30" s="17" t="n">
        <x:f>'Monthly Model'!A17</x:f>
        <x:v>12</x:v>
      </x:c>
      <x:c r="B30" s="18" t="n">
        <x:f>'Monthly Model'!E17</x:f>
        <x:v>471.5</x:v>
      </x:c>
      <x:c r="C30" s="18" t="n">
        <x:f>'Monthly Model'!M17</x:f>
        <x:v>2421</x:v>
      </x:c>
      <x:c r="D30" s="18" t="n">
        <x:f>'Monthly Model'!U17</x:f>
        <x:v>11548.8</x:v>
      </x:c>
      <x:c r="F30" s="17" t="n">
        <x:f>'Monthly Model'!A17</x:f>
        <x:v>12</x:v>
      </x:c>
      <x:c r="G30" s="22" t="n">
        <x:f>'Monthly Model'!G17</x:f>
        <x:v>0.67896</x:v>
      </x:c>
      <x:c r="H30" s="22" t="n">
        <x:f>'Monthly Model'!O17</x:f>
        <x:v>10.8945</x:v>
      </x:c>
      <x:c r="I30" s="22" t="n">
        <x:f>'Monthly Model'!W17</x:f>
        <x:v>118.49068799999999</x:v>
      </x:c>
    </x:row>
    <x:row r="31">
      <x:c r="A31" s="17" t="n">
        <x:f>'Monthly Model'!A18</x:f>
        <x:v>13</x:v>
      </x:c>
      <x:c r="B31" s="18" t="n">
        <x:f>'Monthly Model'!E18</x:f>
        <x:v>521.5</x:v>
      </x:c>
      <x:c r="C31" s="18" t="n">
        <x:f>'Monthly Model'!M18</x:f>
        <x:v>2721</x:v>
      </x:c>
      <x:c r="D31" s="18" t="n">
        <x:f>'Monthly Model'!U18</x:f>
        <x:v>12988.8</x:v>
      </x:c>
      <x:c r="F31" s="17" t="n">
        <x:f>'Monthly Model'!A18</x:f>
        <x:v>13</x:v>
      </x:c>
      <x:c r="G31" s="22" t="n">
        <x:f>'Monthly Model'!G18</x:f>
        <x:v>0.7509600000000001</x:v>
      </x:c>
      <x:c r="H31" s="22" t="n">
        <x:f>'Monthly Model'!O18</x:f>
        <x:v>12.2445</x:v>
      </x:c>
      <x:c r="I31" s="22" t="n">
        <x:f>'Monthly Model'!W18</x:f>
        <x:v>133.265088</x:v>
      </x:c>
    </x:row>
    <x:row r="32">
      <x:c r="A32" s="17" t="n">
        <x:f>'Monthly Model'!A19</x:f>
        <x:v>14</x:v>
      </x:c>
      <x:c r="B32" s="18" t="n">
        <x:f>'Monthly Model'!E19</x:f>
        <x:v>571.5</x:v>
      </x:c>
      <x:c r="C32" s="18" t="n">
        <x:f>'Monthly Model'!M19</x:f>
        <x:v>3021</x:v>
      </x:c>
      <x:c r="D32" s="18" t="n">
        <x:f>'Monthly Model'!U19</x:f>
        <x:v>14428.8</x:v>
      </x:c>
      <x:c r="F32" s="17" t="n">
        <x:f>'Monthly Model'!A19</x:f>
        <x:v>14</x:v>
      </x:c>
      <x:c r="G32" s="22" t="n">
        <x:f>'Monthly Model'!G19</x:f>
        <x:v>0.82296</x:v>
      </x:c>
      <x:c r="H32" s="22" t="n">
        <x:f>'Monthly Model'!O19</x:f>
        <x:v>13.5945</x:v>
      </x:c>
      <x:c r="I32" s="22" t="n">
        <x:f>'Monthly Model'!W19</x:f>
        <x:v>148.039488</x:v>
      </x:c>
    </x:row>
    <x:row r="33">
      <x:c r="A33" s="17" t="n">
        <x:f>'Monthly Model'!A20</x:f>
        <x:v>15</x:v>
      </x:c>
      <x:c r="B33" s="18" t="n">
        <x:f>'Monthly Model'!E20</x:f>
        <x:v>621.5</x:v>
      </x:c>
      <x:c r="C33" s="18" t="n">
        <x:f>'Monthly Model'!M20</x:f>
        <x:v>3321</x:v>
      </x:c>
      <x:c r="D33" s="18" t="n">
        <x:f>'Monthly Model'!U20</x:f>
        <x:v>15868.8</x:v>
      </x:c>
      <x:c r="F33" s="17" t="n">
        <x:f>'Monthly Model'!A20</x:f>
        <x:v>15</x:v>
      </x:c>
      <x:c r="G33" s="22" t="n">
        <x:f>'Monthly Model'!G20</x:f>
        <x:v>0.8949600000000001</x:v>
      </x:c>
      <x:c r="H33" s="22" t="n">
        <x:f>'Monthly Model'!O20</x:f>
        <x:v>14.9445</x:v>
      </x:c>
      <x:c r="I33" s="22" t="n">
        <x:f>'Monthly Model'!W20</x:f>
        <x:v>162.81388800000002</x:v>
      </x:c>
    </x:row>
    <x:row r="34">
      <x:c r="A34" s="17" t="n">
        <x:f>'Monthly Model'!A21</x:f>
        <x:v>16</x:v>
      </x:c>
      <x:c r="B34" s="18" t="n">
        <x:f>'Monthly Model'!E21</x:f>
        <x:v>671.5</x:v>
      </x:c>
      <x:c r="C34" s="18" t="n">
        <x:f>'Monthly Model'!M21</x:f>
        <x:v>3621</x:v>
      </x:c>
      <x:c r="D34" s="18" t="n">
        <x:f>'Monthly Model'!U21</x:f>
        <x:v>17308.8</x:v>
      </x:c>
      <x:c r="F34" s="17" t="n">
        <x:f>'Monthly Model'!A21</x:f>
        <x:v>16</x:v>
      </x:c>
      <x:c r="G34" s="22" t="n">
        <x:f>'Monthly Model'!G21</x:f>
        <x:v>0.96696</x:v>
      </x:c>
      <x:c r="H34" s="22" t="n">
        <x:f>'Monthly Model'!O21</x:f>
        <x:v>16.2945</x:v>
      </x:c>
      <x:c r="I34" s="22" t="n">
        <x:f>'Monthly Model'!W21</x:f>
        <x:v>177.588288</x:v>
      </x:c>
    </x:row>
    <x:row r="35">
      <x:c r="A35" s="17" t="n">
        <x:f>'Monthly Model'!A22</x:f>
        <x:v>17</x:v>
      </x:c>
      <x:c r="B35" s="18" t="n">
        <x:f>'Monthly Model'!E22</x:f>
        <x:v>721.5</x:v>
      </x:c>
      <x:c r="C35" s="18" t="n">
        <x:f>'Monthly Model'!M22</x:f>
        <x:v>3921</x:v>
      </x:c>
      <x:c r="D35" s="18" t="n">
        <x:f>'Monthly Model'!U22</x:f>
        <x:v>18748.8</x:v>
      </x:c>
      <x:c r="F35" s="17" t="n">
        <x:f>'Monthly Model'!A22</x:f>
        <x:v>17</x:v>
      </x:c>
      <x:c r="G35" s="22" t="n">
        <x:f>'Monthly Model'!G22</x:f>
        <x:v>1.03896</x:v>
      </x:c>
      <x:c r="H35" s="22" t="n">
        <x:f>'Monthly Model'!O22</x:f>
        <x:v>17.6445</x:v>
      </x:c>
      <x:c r="I35" s="22" t="n">
        <x:f>'Monthly Model'!W22</x:f>
        <x:v>192.362688</x:v>
      </x:c>
    </x:row>
    <x:row r="36">
      <x:c r="A36" s="17" t="n">
        <x:f>'Monthly Model'!A23</x:f>
        <x:v>18</x:v>
      </x:c>
      <x:c r="B36" s="18" t="n">
        <x:f>'Monthly Model'!E23</x:f>
        <x:v>771.5</x:v>
      </x:c>
      <x:c r="C36" s="18" t="n">
        <x:f>'Monthly Model'!M23</x:f>
        <x:v>4221</x:v>
      </x:c>
      <x:c r="D36" s="18" t="n">
        <x:f>'Monthly Model'!U23</x:f>
        <x:v>20188.8</x:v>
      </x:c>
      <x:c r="F36" s="17" t="n">
        <x:f>'Monthly Model'!A23</x:f>
        <x:v>18</x:v>
      </x:c>
      <x:c r="G36" s="22" t="n">
        <x:f>'Monthly Model'!G23</x:f>
        <x:v>1.11096</x:v>
      </x:c>
      <x:c r="H36" s="22" t="n">
        <x:f>'Monthly Model'!O23</x:f>
        <x:v>18.9945</x:v>
      </x:c>
      <x:c r="I36" s="22" t="n">
        <x:f>'Monthly Model'!W23</x:f>
        <x:v>207.13708799999998</x:v>
      </x:c>
    </x:row>
    <x:row r="37">
      <x:c r="A37" s="17" t="n">
        <x:f>'Monthly Model'!A24</x:f>
        <x:v>19</x:v>
      </x:c>
      <x:c r="B37" s="18" t="n">
        <x:f>'Monthly Model'!E24</x:f>
        <x:v>821.5</x:v>
      </x:c>
      <x:c r="C37" s="18" t="n">
        <x:f>'Monthly Model'!M24</x:f>
        <x:v>4521</x:v>
      </x:c>
      <x:c r="D37" s="18" t="n">
        <x:f>'Monthly Model'!U24</x:f>
        <x:v>21628.8</x:v>
      </x:c>
      <x:c r="F37" s="17" t="n">
        <x:f>'Monthly Model'!A24</x:f>
        <x:v>19</x:v>
      </x:c>
      <x:c r="G37" s="22" t="n">
        <x:f>'Monthly Model'!G24</x:f>
        <x:v>1.18296</x:v>
      </x:c>
      <x:c r="H37" s="22" t="n">
        <x:f>'Monthly Model'!O24</x:f>
        <x:v>20.3445</x:v>
      </x:c>
      <x:c r="I37" s="22" t="n">
        <x:f>'Monthly Model'!W24</x:f>
        <x:v>221.911488</x:v>
      </x:c>
    </x:row>
    <x:row r="38">
      <x:c r="A38" s="17" t="n">
        <x:f>'Monthly Model'!A25</x:f>
        <x:v>20</x:v>
      </x:c>
      <x:c r="B38" s="18" t="n">
        <x:f>'Monthly Model'!E25</x:f>
        <x:v>871.5</x:v>
      </x:c>
      <x:c r="C38" s="18" t="n">
        <x:f>'Monthly Model'!M25</x:f>
        <x:v>4821</x:v>
      </x:c>
      <x:c r="D38" s="18" t="n">
        <x:f>'Monthly Model'!U25</x:f>
        <x:v>23068.8</x:v>
      </x:c>
      <x:c r="F38" s="17" t="n">
        <x:f>'Monthly Model'!A25</x:f>
        <x:v>20</x:v>
      </x:c>
      <x:c r="G38" s="22" t="n">
        <x:f>'Monthly Model'!G25</x:f>
        <x:v>1.25496</x:v>
      </x:c>
      <x:c r="H38" s="22" t="n">
        <x:f>'Monthly Model'!O25</x:f>
        <x:v>21.6945</x:v>
      </x:c>
      <x:c r="I38" s="22" t="n">
        <x:f>'Monthly Model'!W25</x:f>
        <x:v>236.685888</x:v>
      </x:c>
    </x:row>
    <x:row r="39">
      <x:c r="A39" s="17" t="n">
        <x:f>'Monthly Model'!A26</x:f>
        <x:v>21</x:v>
      </x:c>
      <x:c r="B39" s="18" t="n">
        <x:f>'Monthly Model'!E26</x:f>
        <x:v>921.5</x:v>
      </x:c>
      <x:c r="C39" s="18" t="n">
        <x:f>'Monthly Model'!M26</x:f>
        <x:v>5121</x:v>
      </x:c>
      <x:c r="D39" s="18" t="n">
        <x:f>'Monthly Model'!U26</x:f>
        <x:v>24508.8</x:v>
      </x:c>
      <x:c r="F39" s="17" t="n">
        <x:f>'Monthly Model'!A26</x:f>
        <x:v>21</x:v>
      </x:c>
      <x:c r="G39" s="22" t="n">
        <x:f>'Monthly Model'!G26</x:f>
        <x:v>1.3269600000000001</x:v>
      </x:c>
      <x:c r="H39" s="22" t="n">
        <x:f>'Monthly Model'!O26</x:f>
        <x:v>23.0445</x:v>
      </x:c>
      <x:c r="I39" s="22" t="n">
        <x:f>'Monthly Model'!W26</x:f>
        <x:v>251.46028800000002</x:v>
      </x:c>
    </x:row>
    <x:row r="40">
      <x:c r="A40" s="17" t="n">
        <x:f>'Monthly Model'!A27</x:f>
        <x:v>22</x:v>
      </x:c>
      <x:c r="B40" s="18" t="n">
        <x:f>'Monthly Model'!E27</x:f>
        <x:v>971.5</x:v>
      </x:c>
      <x:c r="C40" s="18" t="n">
        <x:f>'Monthly Model'!M27</x:f>
        <x:v>5421</x:v>
      </x:c>
      <x:c r="D40" s="18" t="n">
        <x:f>'Monthly Model'!U27</x:f>
        <x:v>25948.8</x:v>
      </x:c>
      <x:c r="F40" s="17" t="n">
        <x:f>'Monthly Model'!A27</x:f>
        <x:v>22</x:v>
      </x:c>
      <x:c r="G40" s="22" t="n">
        <x:f>'Monthly Model'!G27</x:f>
        <x:v>1.39896</x:v>
      </x:c>
      <x:c r="H40" s="22" t="n">
        <x:f>'Monthly Model'!O27</x:f>
        <x:v>24.3945</x:v>
      </x:c>
      <x:c r="I40" s="22" t="n">
        <x:f>'Monthly Model'!W27</x:f>
        <x:v>266.234688</x:v>
      </x:c>
    </x:row>
    <x:row r="41">
      <x:c r="A41" s="17" t="n">
        <x:f>'Monthly Model'!A28</x:f>
        <x:v>23</x:v>
      </x:c>
      <x:c r="B41" s="18" t="n">
        <x:f>'Monthly Model'!E28</x:f>
        <x:v>1021.5</x:v>
      </x:c>
      <x:c r="C41" s="18" t="n">
        <x:f>'Monthly Model'!M28</x:f>
        <x:v>5721</x:v>
      </x:c>
      <x:c r="D41" s="18" t="n">
        <x:f>'Monthly Model'!U28</x:f>
        <x:v>27388.8</x:v>
      </x:c>
      <x:c r="F41" s="17" t="n">
        <x:f>'Monthly Model'!A28</x:f>
        <x:v>23</x:v>
      </x:c>
      <x:c r="G41" s="22" t="n">
        <x:f>'Monthly Model'!G28</x:f>
        <x:v>1.47096</x:v>
      </x:c>
      <x:c r="H41" s="22" t="n">
        <x:f>'Monthly Model'!O28</x:f>
        <x:v>25.7445</x:v>
      </x:c>
      <x:c r="I41" s="22" t="n">
        <x:f>'Monthly Model'!W28</x:f>
        <x:v>281.009088</x:v>
      </x:c>
    </x:row>
    <x:row r="42">
      <x:c r="A42" s="17" t="n">
        <x:f>'Monthly Model'!A29</x:f>
        <x:v>24</x:v>
      </x:c>
      <x:c r="B42" s="18" t="n">
        <x:f>'Monthly Model'!E29</x:f>
        <x:v>1071.5</x:v>
      </x:c>
      <x:c r="C42" s="18" t="n">
        <x:f>'Monthly Model'!M29</x:f>
        <x:v>6021</x:v>
      </x:c>
      <x:c r="D42" s="18" t="n">
        <x:f>'Monthly Model'!U29</x:f>
        <x:v>28828.8</x:v>
      </x:c>
      <x:c r="F42" s="17" t="n">
        <x:f>'Monthly Model'!A29</x:f>
        <x:v>24</x:v>
      </x:c>
      <x:c r="G42" s="22" t="n">
        <x:f>'Monthly Model'!G29</x:f>
        <x:v>1.54296</x:v>
      </x:c>
      <x:c r="H42" s="22" t="n">
        <x:f>'Monthly Model'!O29</x:f>
        <x:v>27.0945</x:v>
      </x:c>
      <x:c r="I42" s="22" t="n">
        <x:f>'Monthly Model'!W29</x:f>
        <x:v>295.78348800000003</x:v>
      </x:c>
    </x:row>
  </x:sheetData>
  <x:pageMargins left="0.7" right="0.7" top="0.75" bottom="0.75" header="0.3" footer="0.3"/>
  <x:drawing xmlns:r="http://schemas.openxmlformats.org/officeDocument/2006/relationships" r:id="R4bad94f7a5f94302"/>
</x:worksheet>
</file>

<file path=xl/worksheets/sheet2.xml><?xml version="1.0" encoding="utf-8"?>
<x:worksheet xmlns:x="http://schemas.openxmlformats.org/spreadsheetml/2006/main">
  <x:sheetFormatPr defaultRowHeight="15"/>
  <x:cols>
    <x:col min="1" max="1" width="70.05999755859375" hidden="0" customWidth="1"/>
    <x:col min="2" max="2" width="10.180000305175781" hidden="0" customWidth="1"/>
    <x:col min="3" max="3" width="4.289999961853027" hidden="0" customWidth="1"/>
    <x:col min="4" max="4" width="7.980000019073486" hidden="0" customWidth="1"/>
    <x:col min="6" max="6" width="19.75" hidden="0" customWidth="1"/>
    <x:col min="7" max="7" width="58.77000045776367" hidden="0" customWidth="1"/>
    <x:col min="8" max="8" width="54.970001220703125" hidden="0" customWidth="1"/>
  </x:cols>
  <x:sheetData>
    <x:row r="1">
      <x:c r="A1" s="68" t="str">
        <x:v>Assumptions</x:v>
      </x:c>
      <x:c r="B1" s="69"/>
      <x:c r="C1" s="69"/>
      <x:c r="D1" s="69"/>
      <x:c r="E1" s="69"/>
      <x:c r="F1" s="69"/>
      <x:c r="G1" s="69"/>
      <x:c r="H1" s="69"/>
      <x:c r="I1" s="69"/>
      <x:c r="J1" s="69"/>
      <x:c r="K1" s="69"/>
      <x:c r="L1" s="69"/>
      <x:c r="M1" s="69"/>
      <x:c r="N1" s="69"/>
      <x:c r="O1" s="69"/>
      <x:c r="P1" s="69"/>
      <x:c r="Q1" s="69"/>
      <x:c r="R1" s="69"/>
      <x:c r="S1" s="69"/>
      <x:c r="T1" s="69"/>
      <x:c r="U1" s="69"/>
      <x:c r="V1" s="69"/>
      <x:c r="W1" s="69"/>
      <x:c r="X1" s="69"/>
      <x:c r="Y1" s="69"/>
      <x:c r="Z1" s="69"/>
    </x:row>
    <x:row r="2">
      <x:c r="A2" s="7" t="str">
        <x:v>Yellow cells are planning assumptions. Change them to reuse this workbook for future tool sites.</x:v>
      </x:c>
    </x:row>
    <x:row r="4">
      <x:c r="A4" s="12" t="str">
        <x:v>Input</x:v>
      </x:c>
      <x:c r="B4" s="12" t="str">
        <x:v>Conservative</x:v>
      </x:c>
      <x:c r="C4" s="12" t="str">
        <x:v>Base</x:v>
      </x:c>
      <x:c r="D4" s="12" t="str">
        <x:v>Optimistic</x:v>
      </x:c>
      <x:c r="F4" s="12" t="str">
        <x:v>Term</x:v>
      </x:c>
      <x:c r="G4" s="12" t="str">
        <x:v>Definition</x:v>
      </x:c>
      <x:c r="H4" s="12" t="str">
        <x:v>How to use</x:v>
      </x:c>
    </x:row>
    <x:row r="5">
      <x:c r="A5" s="17" t="str">
        <x:v>Starting indexable pages</x:v>
      </x:c>
      <x:c r="B5" s="37" t="n">
        <x:v>10</x:v>
      </x:c>
      <x:c r="C5" s="37" t="n">
        <x:v>10</x:v>
      </x:c>
      <x:c r="D5" s="37" t="n">
        <x:v>10</x:v>
      </x:c>
      <x:c r="F5" s="17" t="str">
        <x:v>Indexable page</x:v>
      </x:c>
      <x:c r="G5" s="17" t="str">
        <x:v>A page that can plausibly receive Google Search traffic, excluding legal pages.</x:v>
      </x:c>
      <x:c r="H5" s="17" t="str">
        <x:v>Home page + tools + guides count; privacy/terms usually do not.</x:v>
      </x:c>
    </x:row>
    <x:row r="6">
      <x:c r="A6" s="17" t="str">
        <x:v>New indexable pages per month</x:v>
      </x:c>
      <x:c r="B6" s="37" t="n">
        <x:v>2</x:v>
      </x:c>
      <x:c r="C6" s="37" t="n">
        <x:v>4</x:v>
      </x:c>
      <x:c r="D6" s="37" t="n">
        <x:v>8</x:v>
      </x:c>
      <x:c r="F6" s="17" t="str">
        <x:v>Mature monthly visits/page</x:v>
      </x:c>
      <x:c r="G6" s="17" t="str">
        <x:v>Expected Google organic visits per page once the page reaches its steady state.</x:v>
      </x:c>
      <x:c r="H6" s="17" t="str">
        <x:v>This is the biggest SEO lever in the model.</x:v>
      </x:c>
    </x:row>
    <x:row r="7">
      <x:c r="A7" s="17" t="str">
        <x:v>Mature monthly Google visits per page</x:v>
      </x:c>
      <x:c r="B7" s="37" t="n">
        <x:v>25</x:v>
      </x:c>
      <x:c r="C7" s="37" t="n">
        <x:v>75</x:v>
      </x:c>
      <x:c r="D7" s="37" t="n">
        <x:v>180</x:v>
      </x:c>
      <x:c r="F7" s="17" t="str">
        <x:v>Ramp</x:v>
      </x:c>
      <x:c r="G7" s="17" t="str">
        <x:v>How much of mature traffic a page gets by age.</x:v>
      </x:c>
      <x:c r="H7" s="17" t="str">
        <x:v>Early months are deliberately low because cold-start indexing is slow.</x:v>
      </x:c>
    </x:row>
    <x:row r="8">
      <x:c r="A8" s="17" t="str">
        <x:v>Pageviews per visit</x:v>
      </x:c>
      <x:c r="B8" s="40" t="n">
        <x:v>1.2</x:v>
      </x:c>
      <x:c r="C8" s="40" t="n">
        <x:v>1.25</x:v>
      </x:c>
      <x:c r="D8" s="40" t="n">
        <x:v>1.35</x:v>
      </x:c>
      <x:c r="F8" s="17" t="str">
        <x:v>Page RPM</x:v>
      </x:c>
      <x:c r="G8" s="17" t="str">
        <x:v>Estimated AdSense earnings per 1,000 pageviews.</x:v>
      </x:c>
      <x:c r="H8" s="17" t="str">
        <x:v>Replace with actual AdSense Page RPM once approved.</x:v>
      </x:c>
    </x:row>
    <x:row r="9">
      <x:c r="A9" s="17" t="str">
        <x:v>AdSense approval month</x:v>
      </x:c>
      <x:c r="B9" s="37" t="n">
        <x:v>3</x:v>
      </x:c>
      <x:c r="C9" s="37" t="n">
        <x:v>2</x:v>
      </x:c>
      <x:c r="D9" s="37" t="n">
        <x:v>2</x:v>
      </x:c>
      <x:c r="F9" s="17" t="str">
        <x:v>Ad coverage</x:v>
      </x:c>
      <x:c r="G9" s="17" t="str">
        <x:v>Share of pageviews that actually monetize with ads.</x:v>
      </x:c>
      <x:c r="H9" s="17" t="str">
        <x:v>Accounts for ad blockers, policy limits, load issues, and pages without ads.</x:v>
      </x:c>
    </x:row>
    <x:row r="10">
      <x:c r="A10" s="17" t="str">
        <x:v>Ad-covered pageview share</x:v>
      </x:c>
      <x:c r="B10" s="38" t="n">
        <x:v>0.8</x:v>
      </x:c>
      <x:c r="C10" s="38" t="n">
        <x:v>0.9</x:v>
      </x:c>
      <x:c r="D10" s="38" t="n">
        <x:v>0.95</x:v>
      </x:c>
      <x:c r="F10" s="17" t="str">
        <x:v>Approval month</x:v>
      </x:c>
      <x:c r="G10" s="17" t="str">
        <x:v>First month when ads are assumed to earn.</x:v>
      </x:c>
      <x:c r="H10" s="17" t="str">
        <x:v>Revenue is zero before this month.</x:v>
      </x:c>
    </x:row>
    <x:row r="11">
      <x:c r="A11" s="17" t="str">
        <x:v>AdSense page RPM USD</x:v>
      </x:c>
      <x:c r="B11" s="39" t="n">
        <x:v>1.5</x:v>
      </x:c>
      <x:c r="C11" s="39" t="n">
        <x:v>4</x:v>
      </x:c>
      <x:c r="D11" s="39" t="n">
        <x:v>8</x:v>
      </x:c>
      <x:c r="F11" s="17" t="str">
        <x:v>Model horizon</x:v>
      </x:c>
      <x:c r="G11" s="17" t="str">
        <x:v>24 months.</x:v>
      </x:c>
      <x:c r="H11" s="17" t="str">
        <x:v>Use Month 6, 12, and 24 as management checkpoints.</x:v>
      </x:c>
    </x:row>
    <x:row r="12">
      <x:c r="A12" s="17" t="str">
        <x:v>USD to CNY</x:v>
      </x:c>
      <x:c r="B12" s="40" t="n">
        <x:v>7.2</x:v>
      </x:c>
      <x:c r="C12" s="40" t="n">
        <x:v>7.2</x:v>
      </x:c>
      <x:c r="D12" s="40" t="n">
        <x:v>7.2</x:v>
      </x:c>
    </x:row>
    <x:row r="13">
      <x:c r="A13" s="17" t="str">
        <x:v>Non-Google visits per month</x:v>
      </x:c>
      <x:c r="B13" s="37" t="n">
        <x:v>0</x:v>
      </x:c>
      <x:c r="C13" s="37" t="n">
        <x:v>0</x:v>
      </x:c>
      <x:c r="D13" s="37" t="n">
        <x:v>0</x:v>
      </x:c>
    </x:row>
    <x:row r="16">
      <x:c r="A16" s="12" t="str">
        <x:v>Ramp age in months</x:v>
      </x:c>
      <x:c r="B16" s="12" t="str">
        <x:v>Conservative</x:v>
      </x:c>
      <x:c r="C16" s="12" t="str">
        <x:v>Base</x:v>
      </x:c>
      <x:c r="D16" s="12" t="str">
        <x:v>Optimistic</x:v>
      </x:c>
    </x:row>
    <x:row r="17">
      <x:c r="A17" s="17" t="n">
        <x:v>0</x:v>
      </x:c>
      <x:c r="B17" s="38" t="n">
        <x:v>0</x:v>
      </x:c>
      <x:c r="C17" s="38" t="n">
        <x:v>0</x:v>
      </x:c>
      <x:c r="D17" s="38" t="n">
        <x:v>0.02</x:v>
      </x:c>
    </x:row>
    <x:row r="18">
      <x:c r="A18" s="17" t="n">
        <x:v>1</x:v>
      </x:c>
      <x:c r="B18" s="38" t="n">
        <x:v>0.01</x:v>
      </x:c>
      <x:c r="C18" s="38" t="n">
        <x:v>0.02</x:v>
      </x:c>
      <x:c r="D18" s="38" t="n">
        <x:v>0.05</x:v>
      </x:c>
    </x:row>
    <x:row r="19">
      <x:c r="A19" s="17" t="n">
        <x:v>2</x:v>
      </x:c>
      <x:c r="B19" s="38" t="n">
        <x:v>0.03</x:v>
      </x:c>
      <x:c r="C19" s="38" t="n">
        <x:v>0.05</x:v>
      </x:c>
      <x:c r="D19" s="38" t="n">
        <x:v>0.1</x:v>
      </x:c>
    </x:row>
    <x:row r="20">
      <x:c r="A20" s="17" t="n">
        <x:v>3</x:v>
      </x:c>
      <x:c r="B20" s="38" t="n">
        <x:v>0.07</x:v>
      </x:c>
      <x:c r="C20" s="38" t="n">
        <x:v>0.1</x:v>
      </x:c>
      <x:c r="D20" s="38" t="n">
        <x:v>0.2</x:v>
      </x:c>
    </x:row>
    <x:row r="21">
      <x:c r="A21" s="17" t="n">
        <x:v>4</x:v>
      </x:c>
      <x:c r="B21" s="38" t="n">
        <x:v>0.12</x:v>
      </x:c>
      <x:c r="C21" s="38" t="n">
        <x:v>0.2</x:v>
      </x:c>
      <x:c r="D21" s="38" t="n">
        <x:v>0.35</x:v>
      </x:c>
    </x:row>
    <x:row r="22">
      <x:c r="A22" s="17" t="n">
        <x:v>5</x:v>
      </x:c>
      <x:c r="B22" s="38" t="n">
        <x:v>0.2</x:v>
      </x:c>
      <x:c r="C22" s="38" t="n">
        <x:v>0.35</x:v>
      </x:c>
      <x:c r="D22" s="38" t="n">
        <x:v>0.55</x:v>
      </x:c>
    </x:row>
    <x:row r="23">
      <x:c r="A23" s="17" t="n">
        <x:v>6</x:v>
      </x:c>
      <x:c r="B23" s="38" t="n">
        <x:v>0.3</x:v>
      </x:c>
      <x:c r="C23" s="38" t="n">
        <x:v>0.5</x:v>
      </x:c>
      <x:c r="D23" s="38" t="n">
        <x:v>0.7</x:v>
      </x:c>
    </x:row>
    <x:row r="24">
      <x:c r="A24" s="17" t="n">
        <x:v>7</x:v>
      </x:c>
      <x:c r="B24" s="38" t="n">
        <x:v>0.45</x:v>
      </x:c>
      <x:c r="C24" s="38" t="n">
        <x:v>0.65</x:v>
      </x:c>
      <x:c r="D24" s="38" t="n">
        <x:v>0.85</x:v>
      </x:c>
    </x:row>
    <x:row r="25">
      <x:c r="A25" s="17" t="n">
        <x:v>8</x:v>
      </x:c>
      <x:c r="B25" s="38" t="n">
        <x:v>0.6</x:v>
      </x:c>
      <x:c r="C25" s="38" t="n">
        <x:v>0.8</x:v>
      </x:c>
      <x:c r="D25" s="38" t="n">
        <x:v>0.95</x:v>
      </x:c>
    </x:row>
    <x:row r="26">
      <x:c r="A26" s="17" t="n">
        <x:v>9</x:v>
      </x:c>
      <x:c r="B26" s="38" t="n">
        <x:v>0.75</x:v>
      </x:c>
      <x:c r="C26" s="38" t="n">
        <x:v>0.9</x:v>
      </x:c>
      <x:c r="D26" s="38" t="n">
        <x:v>1</x:v>
      </x:c>
    </x:row>
    <x:row r="27">
      <x:c r="A27" s="17" t="n">
        <x:v>10</x:v>
      </x:c>
      <x:c r="B27" s="38" t="n">
        <x:v>0.9</x:v>
      </x:c>
      <x:c r="C27" s="38" t="n">
        <x:v>1</x:v>
      </x:c>
      <x:c r="D27" s="38" t="n">
        <x:v>1</x:v>
      </x:c>
    </x:row>
    <x:row r="28">
      <x:c r="A28" s="17" t="n">
        <x:v>11</x:v>
      </x:c>
      <x:c r="B28" s="38" t="n">
        <x:v>1</x:v>
      </x:c>
      <x:c r="C28" s="38" t="n">
        <x:v>1</x:v>
      </x:c>
      <x:c r="D28" s="38" t="n">
        <x:v>1</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71.04000091552734" hidden="0" customWidth="1"/>
    <x:col min="2" max="2" width="9.079999923706055" hidden="0" customWidth="1"/>
    <x:col min="3" max="3" width="12.880000114440918" hidden="0" customWidth="1"/>
    <x:col min="4" max="4" width="13.010000228881836" hidden="0" customWidth="1"/>
    <x:col min="5" max="5" width="16.31999969482422" hidden="0" customWidth="1"/>
    <x:col min="6" max="6" width="8.34000015258789" hidden="0" customWidth="1"/>
    <x:col min="7" max="7" width="10.670000076293945" hidden="0" customWidth="1"/>
    <x:col min="8" max="8" width="12.640000343322754" hidden="0" customWidth="1"/>
    <x:col min="9" max="9" width="16.809999465942383" hidden="0" customWidth="1"/>
    <x:col min="10" max="10" width="16.809999465942383" hidden="0" customWidth="1"/>
    <x:col min="11" max="11" width="12.880000114440918" hidden="0" customWidth="1"/>
    <x:col min="12" max="12" width="13.010000228881836" hidden="0" customWidth="1"/>
    <x:col min="13" max="13" width="16.31999969482422" hidden="0" customWidth="1"/>
    <x:col min="14" max="14" width="8.34000015258789" hidden="0" customWidth="1"/>
    <x:col min="15" max="15" width="10.670000076293945" hidden="0" customWidth="1"/>
    <x:col min="16" max="16" width="12.640000343322754" hidden="0" customWidth="1"/>
    <x:col min="17" max="17" width="15.829999923706055" hidden="0" customWidth="1"/>
    <x:col min="18" max="18" width="15.829999923706055" hidden="0" customWidth="1"/>
    <x:col min="19" max="19" width="12.880000114440918" hidden="0" customWidth="1"/>
    <x:col min="20" max="20" width="13.010000228881836" hidden="0" customWidth="1"/>
    <x:col min="21" max="21" width="16.31999969482422" hidden="0" customWidth="1"/>
    <x:col min="22" max="22" width="8.34000015258789" hidden="0" customWidth="1"/>
    <x:col min="23" max="23" width="10.670000076293945" hidden="0" customWidth="1"/>
    <x:col min="24" max="24" width="12.640000343322754" hidden="0" customWidth="1"/>
    <x:col min="25" max="25" width="15.829999923706055" hidden="0" customWidth="1"/>
    <x:col min="26" max="26" width="15.829999923706055" hidden="0" customWidth="1"/>
  </x:cols>
  <x:sheetData>
    <x:row r="1">
      <x:c r="A1" s="68" t="str">
        <x:v>Monthly Model</x:v>
      </x:c>
      <x:c r="B1" s="69"/>
      <x:c r="C1" s="69"/>
      <x:c r="D1" s="69"/>
      <x:c r="E1" s="69"/>
      <x:c r="F1" s="69"/>
      <x:c r="G1" s="69"/>
      <x:c r="H1" s="69"/>
      <x:c r="I1" s="69"/>
      <x:c r="J1" s="69"/>
      <x:c r="K1" s="69"/>
      <x:c r="L1" s="69"/>
      <x:c r="M1" s="69"/>
      <x:c r="N1" s="69"/>
      <x:c r="O1" s="69"/>
      <x:c r="P1" s="69"/>
      <x:c r="Q1" s="69"/>
      <x:c r="R1" s="69"/>
      <x:c r="S1" s="69"/>
      <x:c r="T1" s="69"/>
      <x:c r="U1" s="69"/>
      <x:c r="V1" s="69"/>
      <x:c r="W1" s="69"/>
      <x:c r="X1" s="69"/>
      <x:c r="Y1" s="69"/>
      <x:c r="Z1" s="69"/>
    </x:row>
    <x:row r="2">
      <x:c r="A2" s="7" t="str">
        <x:v>Formula-driven 24-month cohort-style forecast. Scenarios are side-by-side for quick comparison.</x:v>
      </x:c>
    </x:row>
    <x:row r="4">
      <x:c r="C4" s="47" t="str">
        <x:v>Conservative</x:v>
      </x:c>
      <x:c r="D4" s="48" t="str"/>
      <x:c r="E4" s="48" t="str"/>
      <x:c r="F4" s="48" t="str"/>
      <x:c r="G4" s="48" t="str"/>
      <x:c r="H4" s="48" t="str"/>
      <x:c r="I4" s="48" t="str"/>
      <x:c r="J4" s="49" t="str"/>
      <x:c r="K4" s="55" t="str">
        <x:v>Base</x:v>
      </x:c>
      <x:c r="L4" s="56" t="str"/>
      <x:c r="M4" s="56" t="str"/>
      <x:c r="N4" s="56" t="str"/>
      <x:c r="O4" s="56" t="str"/>
      <x:c r="P4" s="56" t="str"/>
      <x:c r="Q4" s="56" t="str"/>
      <x:c r="R4" s="57" t="str"/>
      <x:c r="S4" s="63" t="str">
        <x:v>Optimistic</x:v>
      </x:c>
      <x:c r="T4" s="64" t="str"/>
      <x:c r="U4" s="64" t="str"/>
      <x:c r="V4" s="64" t="str"/>
      <x:c r="W4" s="64" t="str"/>
      <x:c r="X4" s="64" t="str"/>
      <x:c r="Y4" s="64" t="str"/>
      <x:c r="Z4" s="65" t="str"/>
    </x:row>
    <x:row r="5">
      <x:c r="A5" s="12" t="str">
        <x:v>Month #</x:v>
      </x:c>
      <x:c r="B5" s="12" t="str">
        <x:v>Month label</x:v>
      </x:c>
      <x:c r="C5" s="12" t="str">
        <x:v>Published pages</x:v>
      </x:c>
      <x:c r="D5" s="12" t="str">
        <x:v>Mature eq pages</x:v>
      </x:c>
      <x:c r="E5" s="12" t="str">
        <x:v>Google organic visits</x:v>
      </x:c>
      <x:c r="F5" s="12" t="str">
        <x:v>Pageviews</x:v>
      </x:c>
      <x:c r="G5" s="12" t="str">
        <x:v>Revenue USD</x:v>
      </x:c>
      <x:c r="H5" s="12" t="str">
        <x:v>Cumulative USD</x:v>
      </x:c>
      <x:c r="I5" s="12" t="str">
        <x:v>Revenue CNY</x:v>
      </x:c>
      <x:c r="J5" s="12" t="str">
        <x:v>Cumulative CNY</x:v>
      </x:c>
      <x:c r="K5" s="12" t="str">
        <x:v>Published pages</x:v>
      </x:c>
      <x:c r="L5" s="12" t="str">
        <x:v>Mature eq pages</x:v>
      </x:c>
      <x:c r="M5" s="12" t="str">
        <x:v>Google organic visits</x:v>
      </x:c>
      <x:c r="N5" s="12" t="str">
        <x:v>Pageviews</x:v>
      </x:c>
      <x:c r="O5" s="12" t="str">
        <x:v>Revenue USD</x:v>
      </x:c>
      <x:c r="P5" s="12" t="str">
        <x:v>Cumulative USD</x:v>
      </x:c>
      <x:c r="Q5" s="12" t="str">
        <x:v>Revenue CNY</x:v>
      </x:c>
      <x:c r="R5" s="12" t="str">
        <x:v>Cumulative CNY</x:v>
      </x:c>
      <x:c r="S5" s="12" t="str">
        <x:v>Published pages</x:v>
      </x:c>
      <x:c r="T5" s="12" t="str">
        <x:v>Mature eq pages</x:v>
      </x:c>
      <x:c r="U5" s="12" t="str">
        <x:v>Google organic visits</x:v>
      </x:c>
      <x:c r="V5" s="12" t="str">
        <x:v>Pageviews</x:v>
      </x:c>
      <x:c r="W5" s="12" t="str">
        <x:v>Revenue USD</x:v>
      </x:c>
      <x:c r="X5" s="12" t="str">
        <x:v>Cumulative USD</x:v>
      </x:c>
      <x:c r="Y5" s="12" t="str">
        <x:v>Revenue CNY</x:v>
      </x:c>
      <x:c r="Z5" s="12" t="str">
        <x:v>Cumulative CNY</x:v>
      </x:c>
    </x:row>
    <x:row r="6">
      <x:c r="A6" s="17" t="n">
        <x:v>1</x:v>
      </x:c>
      <x:c r="B6" s="17" t="str">
        <x:v>M1</x:v>
      </x:c>
      <x:c r="C6" s="17" t="n">
        <x:f>Assumptions!B$5+Assumptions!B$6*$A6</x:f>
        <x:v>12</x:v>
      </x:c>
      <x:c r="D6" s="17" t="n">
        <x:f>Assumptions!B$5*Assumptions!B$17+Assumptions!B$6*(SUM(Assumptions!B$17:B$17))</x:f>
        <x:v>0</x:v>
      </x:c>
      <x:c r="E6" s="18" t="n">
        <x:f>D6*Assumptions!B$7+Assumptions!B$13</x:f>
        <x:v>0</x:v>
      </x:c>
      <x:c r="F6" s="18" t="n">
        <x:f>E6*Assumptions!B$8</x:f>
        <x:v>0</x:v>
      </x:c>
      <x:c r="G6" s="22" t="n">
        <x:f>IF($A6&lt;Assumptions!B$9,0,F6*Assumptions!B$10*Assumptions!B$11/1000)</x:f>
        <x:v>0</x:v>
      </x:c>
      <x:c r="H6" s="22" t="n">
        <x:f>SUM(G$6:G6)</x:f>
        <x:v>0</x:v>
      </x:c>
      <x:c r="I6" s="20" t="n">
        <x:f>G6*Assumptions!B$12</x:f>
        <x:v>0</x:v>
      </x:c>
      <x:c r="J6" s="20" t="n">
        <x:f>H6*Assumptions!B$12</x:f>
        <x:v>0</x:v>
      </x:c>
      <x:c r="K6" s="17" t="n">
        <x:f>Assumptions!C$5+Assumptions!C$6*$A6</x:f>
        <x:v>14</x:v>
      </x:c>
      <x:c r="L6" s="17" t="n">
        <x:f>Assumptions!C$5*Assumptions!C$17+Assumptions!C$6*(SUM(Assumptions!C$17:C$17))</x:f>
        <x:v>0</x:v>
      </x:c>
      <x:c r="M6" s="18" t="n">
        <x:f>L6*Assumptions!C$7+Assumptions!C$13</x:f>
        <x:v>0</x:v>
      </x:c>
      <x:c r="N6" s="18" t="n">
        <x:f>M6*Assumptions!C$8</x:f>
        <x:v>0</x:v>
      </x:c>
      <x:c r="O6" s="22" t="n">
        <x:f>IF($A6&lt;Assumptions!C$9,0,N6*Assumptions!C$10*Assumptions!C$11/1000)</x:f>
        <x:v>0</x:v>
      </x:c>
      <x:c r="P6" s="22" t="n">
        <x:f>SUM(O$6:O6)</x:f>
        <x:v>0</x:v>
      </x:c>
      <x:c r="Q6" s="20" t="n">
        <x:f>O6*Assumptions!C$12</x:f>
        <x:v>0</x:v>
      </x:c>
      <x:c r="R6" s="20" t="n">
        <x:f>P6*Assumptions!C$12</x:f>
        <x:v>0</x:v>
      </x:c>
      <x:c r="S6" s="17" t="n">
        <x:f>Assumptions!D$5+Assumptions!D$6*$A6</x:f>
        <x:v>18</x:v>
      </x:c>
      <x:c r="T6" s="17" t="n">
        <x:f>Assumptions!D$5*Assumptions!D$17+Assumptions!D$6*(SUM(Assumptions!D$17:D$17))</x:f>
        <x:v>0.36</x:v>
      </x:c>
      <x:c r="U6" s="18" t="n">
        <x:f>T6*Assumptions!D$7+Assumptions!D$13</x:f>
        <x:v>64.8</x:v>
      </x:c>
      <x:c r="V6" s="18" t="n">
        <x:f>U6*Assumptions!D$8</x:f>
        <x:v>87.48</x:v>
      </x:c>
      <x:c r="W6" s="22" t="n">
        <x:f>IF($A6&lt;Assumptions!D$9,0,V6*Assumptions!D$10*Assumptions!D$11/1000)</x:f>
        <x:v>0</x:v>
      </x:c>
      <x:c r="X6" s="22" t="n">
        <x:f>SUM(W$6:W6)</x:f>
        <x:v>0</x:v>
      </x:c>
      <x:c r="Y6" s="20" t="n">
        <x:f>W6*Assumptions!D$12</x:f>
        <x:v>0</x:v>
      </x:c>
      <x:c r="Z6" s="20" t="n">
        <x:f>X6*Assumptions!D$12</x:f>
        <x:v>0</x:v>
      </x:c>
    </x:row>
    <x:row r="7">
      <x:c r="A7" s="17" t="n">
        <x:v>2</x:v>
      </x:c>
      <x:c r="B7" s="17" t="str">
        <x:v>M2</x:v>
      </x:c>
      <x:c r="C7" s="17" t="n">
        <x:f>Assumptions!B$5+Assumptions!B$6*$A7</x:f>
        <x:v>14</x:v>
      </x:c>
      <x:c r="D7" s="17" t="n">
        <x:f>Assumptions!B$5*Assumptions!B$18+Assumptions!B$6*(SUM(Assumptions!B$17:B$18))</x:f>
        <x:v>0.12000000000000001</x:v>
      </x:c>
      <x:c r="E7" s="18" t="n">
        <x:f>D7*Assumptions!B$7+Assumptions!B$13</x:f>
        <x:v>3.0000000000000004</x:v>
      </x:c>
      <x:c r="F7" s="18" t="n">
        <x:f>E7*Assumptions!B$8</x:f>
        <x:v>3.6000000000000005</x:v>
      </x:c>
      <x:c r="G7" s="22" t="n">
        <x:f>IF($A7&lt;Assumptions!B$9,0,F7*Assumptions!B$10*Assumptions!B$11/1000)</x:f>
        <x:v>0</x:v>
      </x:c>
      <x:c r="H7" s="22" t="n">
        <x:f>SUM(G$6:G7)</x:f>
        <x:v>0</x:v>
      </x:c>
      <x:c r="I7" s="20" t="n">
        <x:f>G7*Assumptions!B$12</x:f>
        <x:v>0</x:v>
      </x:c>
      <x:c r="J7" s="20" t="n">
        <x:f>H7*Assumptions!B$12</x:f>
        <x:v>0</x:v>
      </x:c>
      <x:c r="K7" s="17" t="n">
        <x:f>Assumptions!C$5+Assumptions!C$6*$A7</x:f>
        <x:v>18</x:v>
      </x:c>
      <x:c r="L7" s="17" t="n">
        <x:f>Assumptions!C$5*Assumptions!C$18+Assumptions!C$6*(SUM(Assumptions!C$17:C$18))</x:f>
        <x:v>0.28</x:v>
      </x:c>
      <x:c r="M7" s="18" t="n">
        <x:f>L7*Assumptions!C$7+Assumptions!C$13</x:f>
        <x:v>21.000000000000004</x:v>
      </x:c>
      <x:c r="N7" s="18" t="n">
        <x:f>M7*Assumptions!C$8</x:f>
        <x:v>26.250000000000004</x:v>
      </x:c>
      <x:c r="O7" s="22" t="n">
        <x:f>IF($A7&lt;Assumptions!C$9,0,N7*Assumptions!C$10*Assumptions!C$11/1000)</x:f>
        <x:v>0.09450000000000001</x:v>
      </x:c>
      <x:c r="P7" s="22" t="n">
        <x:f>SUM(O$6:O7)</x:f>
        <x:v>0.09450000000000001</x:v>
      </x:c>
      <x:c r="Q7" s="20" t="n">
        <x:f>O7*Assumptions!C$12</x:f>
        <x:v>0.6804000000000001</x:v>
      </x:c>
      <x:c r="R7" s="20" t="n">
        <x:f>P7*Assumptions!C$12</x:f>
        <x:v>0.6804000000000001</x:v>
      </x:c>
      <x:c r="S7" s="17" t="n">
        <x:f>Assumptions!D$5+Assumptions!D$6*$A7</x:f>
        <x:v>26</x:v>
      </x:c>
      <x:c r="T7" s="17" t="n">
        <x:f>Assumptions!D$5*Assumptions!D$18+Assumptions!D$6*(SUM(Assumptions!D$17:D$18))</x:f>
        <x:v>1.06</x:v>
      </x:c>
      <x:c r="U7" s="18" t="n">
        <x:f>T7*Assumptions!D$7+Assumptions!D$13</x:f>
        <x:v>190.8</x:v>
      </x:c>
      <x:c r="V7" s="18" t="n">
        <x:f>U7*Assumptions!D$8</x:f>
        <x:v>257.58000000000004</x:v>
      </x:c>
      <x:c r="W7" s="22" t="n">
        <x:f>IF($A7&lt;Assumptions!D$9,0,V7*Assumptions!D$10*Assumptions!D$11/1000)</x:f>
        <x:v>1.9576080000000002</x:v>
      </x:c>
      <x:c r="X7" s="22" t="n">
        <x:f>SUM(W$6:W7)</x:f>
        <x:v>1.9576080000000002</x:v>
      </x:c>
      <x:c r="Y7" s="20" t="n">
        <x:f>W7*Assumptions!D$12</x:f>
        <x:v>14.094777600000002</x:v>
      </x:c>
      <x:c r="Z7" s="20" t="n">
        <x:f>X7*Assumptions!D$12</x:f>
        <x:v>14.094777600000002</x:v>
      </x:c>
    </x:row>
    <x:row r="8">
      <x:c r="A8" s="17" t="n">
        <x:v>3</x:v>
      </x:c>
      <x:c r="B8" s="17" t="str">
        <x:v>M3</x:v>
      </x:c>
      <x:c r="C8" s="17" t="n">
        <x:f>Assumptions!B$5+Assumptions!B$6*$A8</x:f>
        <x:v>16</x:v>
      </x:c>
      <x:c r="D8" s="17" t="n">
        <x:f>Assumptions!B$5*Assumptions!B$19+Assumptions!B$6*(SUM(Assumptions!B$17:B$19))</x:f>
        <x:v>0.38</x:v>
      </x:c>
      <x:c r="E8" s="18" t="n">
        <x:f>D8*Assumptions!B$7+Assumptions!B$13</x:f>
        <x:v>9.5</x:v>
      </x:c>
      <x:c r="F8" s="18" t="n">
        <x:f>E8*Assumptions!B$8</x:f>
        <x:v>11.4</x:v>
      </x:c>
      <x:c r="G8" s="22" t="n">
        <x:f>IF($A8&lt;Assumptions!B$9,0,F8*Assumptions!B$10*Assumptions!B$11/1000)</x:f>
        <x:v>0.013680000000000001</x:v>
      </x:c>
      <x:c r="H8" s="22" t="n">
        <x:f>SUM(G$6:G8)</x:f>
        <x:v>0.013680000000000001</x:v>
      </x:c>
      <x:c r="I8" s="20" t="n">
        <x:f>G8*Assumptions!B$12</x:f>
        <x:v>0.09849600000000001</x:v>
      </x:c>
      <x:c r="J8" s="20" t="n">
        <x:f>H8*Assumptions!B$12</x:f>
        <x:v>0.09849600000000001</x:v>
      </x:c>
      <x:c r="K8" s="17" t="n">
        <x:f>Assumptions!C$5+Assumptions!C$6*$A8</x:f>
        <x:v>22</x:v>
      </x:c>
      <x:c r="L8" s="17" t="n">
        <x:f>Assumptions!C$5*Assumptions!C$19+Assumptions!C$6*(SUM(Assumptions!C$17:C$19))</x:f>
        <x:v>0.78</x:v>
      </x:c>
      <x:c r="M8" s="18" t="n">
        <x:f>L8*Assumptions!C$7+Assumptions!C$13</x:f>
        <x:v>58.5</x:v>
      </x:c>
      <x:c r="N8" s="18" t="n">
        <x:f>M8*Assumptions!C$8</x:f>
        <x:v>73.125</x:v>
      </x:c>
      <x:c r="O8" s="22" t="n">
        <x:f>IF($A8&lt;Assumptions!C$9,0,N8*Assumptions!C$10*Assumptions!C$11/1000)</x:f>
        <x:v>0.26325</x:v>
      </x:c>
      <x:c r="P8" s="22" t="n">
        <x:f>SUM(O$6:O8)</x:f>
        <x:v>0.35775</x:v>
      </x:c>
      <x:c r="Q8" s="20" t="n">
        <x:f>O8*Assumptions!C$12</x:f>
        <x:v>1.8954</x:v>
      </x:c>
      <x:c r="R8" s="20" t="n">
        <x:f>P8*Assumptions!C$12</x:f>
        <x:v>2.5758</x:v>
      </x:c>
      <x:c r="S8" s="17" t="n">
        <x:f>Assumptions!D$5+Assumptions!D$6*$A8</x:f>
        <x:v>34</x:v>
      </x:c>
      <x:c r="T8" s="17" t="n">
        <x:f>Assumptions!D$5*Assumptions!D$19+Assumptions!D$6*(SUM(Assumptions!D$17:D$19))</x:f>
        <x:v>2.3600000000000003</x:v>
      </x:c>
      <x:c r="U8" s="18" t="n">
        <x:f>T8*Assumptions!D$7+Assumptions!D$13</x:f>
        <x:v>424.80000000000007</x:v>
      </x:c>
      <x:c r="V8" s="18" t="n">
        <x:f>U8*Assumptions!D$8</x:f>
        <x:v>573.4800000000001</x:v>
      </x:c>
      <x:c r="W8" s="22" t="n">
        <x:f>IF($A8&lt;Assumptions!D$9,0,V8*Assumptions!D$10*Assumptions!D$11/1000)</x:f>
        <x:v>4.358448000000001</x:v>
      </x:c>
      <x:c r="X8" s="22" t="n">
        <x:f>SUM(W$6:W8)</x:f>
        <x:v>6.3160560000000014</x:v>
      </x:c>
      <x:c r="Y8" s="20" t="n">
        <x:f>W8*Assumptions!D$12</x:f>
        <x:v>31.38082560000001</x:v>
      </x:c>
      <x:c r="Z8" s="20" t="n">
        <x:f>X8*Assumptions!D$12</x:f>
        <x:v>45.47560320000001</x:v>
      </x:c>
    </x:row>
    <x:row r="9">
      <x:c r="A9" s="17" t="n">
        <x:v>4</x:v>
      </x:c>
      <x:c r="B9" s="17" t="str">
        <x:v>M4</x:v>
      </x:c>
      <x:c r="C9" s="17" t="n">
        <x:f>Assumptions!B$5+Assumptions!B$6*$A9</x:f>
        <x:v>18</x:v>
      </x:c>
      <x:c r="D9" s="17" t="n">
        <x:f>Assumptions!B$5*Assumptions!B$20+Assumptions!B$6*(SUM(Assumptions!B$17:B$20))</x:f>
        <x:v>0.9200000000000002</x:v>
      </x:c>
      <x:c r="E9" s="18" t="n">
        <x:f>D9*Assumptions!B$7+Assumptions!B$13</x:f>
        <x:v>23.000000000000004</x:v>
      </x:c>
      <x:c r="F9" s="18" t="n">
        <x:f>E9*Assumptions!B$8</x:f>
        <x:v>27.600000000000005</x:v>
      </x:c>
      <x:c r="G9" s="22" t="n">
        <x:f>IF($A9&lt;Assumptions!B$9,0,F9*Assumptions!B$10*Assumptions!B$11/1000)</x:f>
        <x:v>0.033120000000000004</x:v>
      </x:c>
      <x:c r="H9" s="22" t="n">
        <x:f>SUM(G$6:G9)</x:f>
        <x:v>0.04680000000000001</x:v>
      </x:c>
      <x:c r="I9" s="20" t="n">
        <x:f>G9*Assumptions!B$12</x:f>
        <x:v>0.23846400000000004</x:v>
      </x:c>
      <x:c r="J9" s="20" t="n">
        <x:f>H9*Assumptions!B$12</x:f>
        <x:v>0.3369600000000001</x:v>
      </x:c>
      <x:c r="K9" s="17" t="n">
        <x:f>Assumptions!C$5+Assumptions!C$6*$A9</x:f>
        <x:v>26</x:v>
      </x:c>
      <x:c r="L9" s="17" t="n">
        <x:f>Assumptions!C$5*Assumptions!C$20+Assumptions!C$6*(SUM(Assumptions!C$17:C$20))</x:f>
        <x:v>1.6800000000000002</x:v>
      </x:c>
      <x:c r="M9" s="18" t="n">
        <x:f>L9*Assumptions!C$7+Assumptions!C$13</x:f>
        <x:v>126.00000000000001</x:v>
      </x:c>
      <x:c r="N9" s="18" t="n">
        <x:f>M9*Assumptions!C$8</x:f>
        <x:v>157.50000000000003</x:v>
      </x:c>
      <x:c r="O9" s="22" t="n">
        <x:f>IF($A9&lt;Assumptions!C$9,0,N9*Assumptions!C$10*Assumptions!C$11/1000)</x:f>
        <x:v>0.5670000000000001</x:v>
      </x:c>
      <x:c r="P9" s="22" t="n">
        <x:f>SUM(O$6:O9)</x:f>
        <x:v>0.9247500000000001</x:v>
      </x:c>
      <x:c r="Q9" s="20" t="n">
        <x:f>O9*Assumptions!C$12</x:f>
        <x:v>4.082400000000001</x:v>
      </x:c>
      <x:c r="R9" s="20" t="n">
        <x:f>P9*Assumptions!C$12</x:f>
        <x:v>6.658200000000001</x:v>
      </x:c>
      <x:c r="S9" s="17" t="n">
        <x:f>Assumptions!D$5+Assumptions!D$6*$A9</x:f>
        <x:v>42</x:v>
      </x:c>
      <x:c r="T9" s="17" t="n">
        <x:f>Assumptions!D$5*Assumptions!D$20+Assumptions!D$6*(SUM(Assumptions!D$17:D$20))</x:f>
        <x:v>4.96</x:v>
      </x:c>
      <x:c r="U9" s="18" t="n">
        <x:f>T9*Assumptions!D$7+Assumptions!D$13</x:f>
        <x:v>892.8</x:v>
      </x:c>
      <x:c r="V9" s="18" t="n">
        <x:f>U9*Assumptions!D$8</x:f>
        <x:v>1205.28</x:v>
      </x:c>
      <x:c r="W9" s="22" t="n">
        <x:f>IF($A9&lt;Assumptions!D$9,0,V9*Assumptions!D$10*Assumptions!D$11/1000)</x:f>
        <x:v>9.160127999999998</x:v>
      </x:c>
      <x:c r="X9" s="22" t="n">
        <x:f>SUM(W$6:W9)</x:f>
        <x:v>15.476184</x:v>
      </x:c>
      <x:c r="Y9" s="20" t="n">
        <x:f>W9*Assumptions!D$12</x:f>
        <x:v>65.9529216</x:v>
      </x:c>
      <x:c r="Z9" s="20" t="n">
        <x:f>X9*Assumptions!D$12</x:f>
        <x:v>111.4285248</x:v>
      </x:c>
    </x:row>
    <x:row r="10">
      <x:c r="A10" s="17" t="n">
        <x:v>5</x:v>
      </x:c>
      <x:c r="B10" s="17" t="str">
        <x:v>M5</x:v>
      </x:c>
      <x:c r="C10" s="17" t="n">
        <x:f>Assumptions!B$5+Assumptions!B$6*$A10</x:f>
        <x:v>20</x:v>
      </x:c>
      <x:c r="D10" s="17" t="n">
        <x:f>Assumptions!B$5*Assumptions!B$21+Assumptions!B$6*(SUM(Assumptions!B$17:B$21))</x:f>
        <x:v>1.66</x:v>
      </x:c>
      <x:c r="E10" s="18" t="n">
        <x:f>D10*Assumptions!B$7+Assumptions!B$13</x:f>
        <x:v>41.5</x:v>
      </x:c>
      <x:c r="F10" s="18" t="n">
        <x:f>E10*Assumptions!B$8</x:f>
        <x:v>49.8</x:v>
      </x:c>
      <x:c r="G10" s="22" t="n">
        <x:f>IF($A10&lt;Assumptions!B$9,0,F10*Assumptions!B$10*Assumptions!B$11/1000)</x:f>
        <x:v>0.05976000000000001</x:v>
      </x:c>
      <x:c r="H10" s="22" t="n">
        <x:f>SUM(G$6:G10)</x:f>
        <x:v>0.10656000000000002</x:v>
      </x:c>
      <x:c r="I10" s="20" t="n">
        <x:f>G10*Assumptions!B$12</x:f>
        <x:v>0.43027200000000004</x:v>
      </x:c>
      <x:c r="J10" s="20" t="n">
        <x:f>H10*Assumptions!B$12</x:f>
        <x:v>0.7672320000000001</x:v>
      </x:c>
      <x:c r="K10" s="17" t="n">
        <x:f>Assumptions!C$5+Assumptions!C$6*$A10</x:f>
        <x:v>30</x:v>
      </x:c>
      <x:c r="L10" s="17" t="n">
        <x:f>Assumptions!C$5*Assumptions!C$21+Assumptions!C$6*(SUM(Assumptions!C$17:C$21))</x:f>
        <x:v>3.48</x:v>
      </x:c>
      <x:c r="M10" s="18" t="n">
        <x:f>L10*Assumptions!C$7+Assumptions!C$13</x:f>
        <x:v>261</x:v>
      </x:c>
      <x:c r="N10" s="18" t="n">
        <x:f>M10*Assumptions!C$8</x:f>
        <x:v>326.25</x:v>
      </x:c>
      <x:c r="O10" s="22" t="n">
        <x:f>IF($A10&lt;Assumptions!C$9,0,N10*Assumptions!C$10*Assumptions!C$11/1000)</x:f>
        <x:v>1.1745</x:v>
      </x:c>
      <x:c r="P10" s="22" t="n">
        <x:f>SUM(O$6:O10)</x:f>
        <x:v>2.09925</x:v>
      </x:c>
      <x:c r="Q10" s="20" t="n">
        <x:f>O10*Assumptions!C$12</x:f>
        <x:v>8.4564</x:v>
      </x:c>
      <x:c r="R10" s="20" t="n">
        <x:f>P10*Assumptions!C$12</x:f>
        <x:v>15.114600000000001</x:v>
      </x:c>
      <x:c r="S10" s="17" t="n">
        <x:f>Assumptions!D$5+Assumptions!D$6*$A10</x:f>
        <x:v>50</x:v>
      </x:c>
      <x:c r="T10" s="17" t="n">
        <x:f>Assumptions!D$5*Assumptions!D$21+Assumptions!D$6*(SUM(Assumptions!D$17:D$21))</x:f>
        <x:v>9.26</x:v>
      </x:c>
      <x:c r="U10" s="18" t="n">
        <x:f>T10*Assumptions!D$7+Assumptions!D$13</x:f>
        <x:v>1666.8</x:v>
      </x:c>
      <x:c r="V10" s="18" t="n">
        <x:f>U10*Assumptions!D$8</x:f>
        <x:v>2250.1800000000003</x:v>
      </x:c>
      <x:c r="W10" s="22" t="n">
        <x:f>IF($A10&lt;Assumptions!D$9,0,V10*Assumptions!D$10*Assumptions!D$11/1000)</x:f>
        <x:v>17.101368</x:v>
      </x:c>
      <x:c r="X10" s="22" t="n">
        <x:f>SUM(W$6:W10)</x:f>
        <x:v>32.577552</x:v>
      </x:c>
      <x:c r="Y10" s="20" t="n">
        <x:f>W10*Assumptions!D$12</x:f>
        <x:v>123.12984960000001</x:v>
      </x:c>
      <x:c r="Z10" s="20" t="n">
        <x:f>X10*Assumptions!D$12</x:f>
        <x:v>234.5583744</x:v>
      </x:c>
    </x:row>
    <x:row r="11">
      <x:c r="A11" s="17" t="n">
        <x:v>6</x:v>
      </x:c>
      <x:c r="B11" s="17" t="str">
        <x:v>M6</x:v>
      </x:c>
      <x:c r="C11" s="17" t="n">
        <x:f>Assumptions!B$5+Assumptions!B$6*$A11</x:f>
        <x:v>22</x:v>
      </x:c>
      <x:c r="D11" s="17" t="n">
        <x:f>Assumptions!B$5*Assumptions!B$22+Assumptions!B$6*(SUM(Assumptions!B$17:B$22))</x:f>
        <x:v>2.8600000000000003</x:v>
      </x:c>
      <x:c r="E11" s="18" t="n">
        <x:f>D11*Assumptions!B$7+Assumptions!B$13</x:f>
        <x:v>71.50000000000001</x:v>
      </x:c>
      <x:c r="F11" s="18" t="n">
        <x:f>E11*Assumptions!B$8</x:f>
        <x:v>85.80000000000001</x:v>
      </x:c>
      <x:c r="G11" s="22" t="n">
        <x:f>IF($A11&lt;Assumptions!B$9,0,F11*Assumptions!B$10*Assumptions!B$11/1000)</x:f>
        <x:v>0.10296000000000002</x:v>
      </x:c>
      <x:c r="H11" s="22" t="n">
        <x:f>SUM(G$6:G11)</x:f>
        <x:v>0.20952000000000004</x:v>
      </x:c>
      <x:c r="I11" s="20" t="n">
        <x:f>G11*Assumptions!B$12</x:f>
        <x:v>0.7413120000000002</x:v>
      </x:c>
      <x:c r="J11" s="20" t="n">
        <x:f>H11*Assumptions!B$12</x:f>
        <x:v>1.5085440000000003</x:v>
      </x:c>
      <x:c r="K11" s="17" t="n">
        <x:f>Assumptions!C$5+Assumptions!C$6*$A11</x:f>
        <x:v>34</x:v>
      </x:c>
      <x:c r="L11" s="17" t="n">
        <x:f>Assumptions!C$5*Assumptions!C$22+Assumptions!C$6*(SUM(Assumptions!C$17:C$22))</x:f>
        <x:v>6.38</x:v>
      </x:c>
      <x:c r="M11" s="18" t="n">
        <x:f>L11*Assumptions!C$7+Assumptions!C$13</x:f>
        <x:v>478.5</x:v>
      </x:c>
      <x:c r="N11" s="18" t="n">
        <x:f>M11*Assumptions!C$8</x:f>
        <x:v>598.125</x:v>
      </x:c>
      <x:c r="O11" s="22" t="n">
        <x:f>IF($A11&lt;Assumptions!C$9,0,N11*Assumptions!C$10*Assumptions!C$11/1000)</x:f>
        <x:v>2.15325</x:v>
      </x:c>
      <x:c r="P11" s="22" t="n">
        <x:f>SUM(O$6:O11)</x:f>
        <x:v>4.2524999999999995</x:v>
      </x:c>
      <x:c r="Q11" s="20" t="n">
        <x:f>O11*Assumptions!C$12</x:f>
        <x:v>15.5034</x:v>
      </x:c>
      <x:c r="R11" s="20" t="n">
        <x:f>P11*Assumptions!C$12</x:f>
        <x:v>30.618</x:v>
      </x:c>
      <x:c r="S11" s="17" t="n">
        <x:f>Assumptions!D$5+Assumptions!D$6*$A11</x:f>
        <x:v>58</x:v>
      </x:c>
      <x:c r="T11" s="17" t="n">
        <x:f>Assumptions!D$5*Assumptions!D$22+Assumptions!D$6*(SUM(Assumptions!D$17:D$22))</x:f>
        <x:v>15.66</x:v>
      </x:c>
      <x:c r="U11" s="18" t="n">
        <x:f>T11*Assumptions!D$7+Assumptions!D$13</x:f>
        <x:v>2818.8</x:v>
      </x:c>
      <x:c r="V11" s="18" t="n">
        <x:f>U11*Assumptions!D$8</x:f>
        <x:v>3805.3800000000006</x:v>
      </x:c>
      <x:c r="W11" s="22" t="n">
        <x:f>IF($A11&lt;Assumptions!D$9,0,V11*Assumptions!D$10*Assumptions!D$11/1000)</x:f>
        <x:v>28.920888</x:v>
      </x:c>
      <x:c r="X11" s="22" t="n">
        <x:f>SUM(W$6:W11)</x:f>
        <x:v>61.49844</x:v>
      </x:c>
      <x:c r="Y11" s="20" t="n">
        <x:f>W11*Assumptions!D$12</x:f>
        <x:v>208.2303936</x:v>
      </x:c>
      <x:c r="Z11" s="20" t="n">
        <x:f>X11*Assumptions!D$12</x:f>
        <x:v>442.788768</x:v>
      </x:c>
    </x:row>
    <x:row r="12">
      <x:c r="A12" s="17" t="n">
        <x:v>7</x:v>
      </x:c>
      <x:c r="B12" s="17" t="str">
        <x:v>M7</x:v>
      </x:c>
      <x:c r="C12" s="17" t="n">
        <x:f>Assumptions!B$5+Assumptions!B$6*$A12</x:f>
        <x:v>24</x:v>
      </x:c>
      <x:c r="D12" s="17" t="n">
        <x:f>Assumptions!B$5*Assumptions!B$23+Assumptions!B$6*(SUM(Assumptions!B$17:B$23))</x:f>
        <x:v>4.46</x:v>
      </x:c>
      <x:c r="E12" s="18" t="n">
        <x:f>D12*Assumptions!B$7+Assumptions!B$13</x:f>
        <x:v>111.5</x:v>
      </x:c>
      <x:c r="F12" s="18" t="n">
        <x:f>E12*Assumptions!B$8</x:f>
        <x:v>133.79999999999998</x:v>
      </x:c>
      <x:c r="G12" s="22" t="n">
        <x:f>IF($A12&lt;Assumptions!B$9,0,F12*Assumptions!B$10*Assumptions!B$11/1000)</x:f>
        <x:v>0.16056</x:v>
      </x:c>
      <x:c r="H12" s="22" t="n">
        <x:f>SUM(G$6:G12)</x:f>
        <x:v>0.3700800000000001</x:v>
      </x:c>
      <x:c r="I12" s="20" t="n">
        <x:f>G12*Assumptions!B$12</x:f>
        <x:v>1.1560320000000002</x:v>
      </x:c>
      <x:c r="J12" s="20" t="n">
        <x:f>H12*Assumptions!B$12</x:f>
        <x:v>2.6645760000000007</x:v>
      </x:c>
      <x:c r="K12" s="17" t="n">
        <x:f>Assumptions!C$5+Assumptions!C$6*$A12</x:f>
        <x:v>38</x:v>
      </x:c>
      <x:c r="L12" s="17" t="n">
        <x:f>Assumptions!C$5*Assumptions!C$23+Assumptions!C$6*(SUM(Assumptions!C$17:C$23))</x:f>
        <x:v>9.879999999999999</x:v>
      </x:c>
      <x:c r="M12" s="18" t="n">
        <x:f>L12*Assumptions!C$7+Assumptions!C$13</x:f>
        <x:v>740.9999999999999</x:v>
      </x:c>
      <x:c r="N12" s="18" t="n">
        <x:f>M12*Assumptions!C$8</x:f>
        <x:v>926.2499999999999</x:v>
      </x:c>
      <x:c r="O12" s="22" t="n">
        <x:f>IF($A12&lt;Assumptions!C$9,0,N12*Assumptions!C$10*Assumptions!C$11/1000)</x:f>
        <x:v>3.3344999999999994</x:v>
      </x:c>
      <x:c r="P12" s="22" t="n">
        <x:f>SUM(O$6:O12)</x:f>
        <x:v>7.586999999999999</x:v>
      </x:c>
      <x:c r="Q12" s="20" t="n">
        <x:f>O12*Assumptions!C$12</x:f>
        <x:v>24.008399999999995</x:v>
      </x:c>
      <x:c r="R12" s="20" t="n">
        <x:f>P12*Assumptions!C$12</x:f>
        <x:v>54.62639999999999</x:v>
      </x:c>
      <x:c r="S12" s="17" t="n">
        <x:f>Assumptions!D$5+Assumptions!D$6*$A12</x:f>
        <x:v>66</x:v>
      </x:c>
      <x:c r="T12" s="17" t="n">
        <x:f>Assumptions!D$5*Assumptions!D$23+Assumptions!D$6*(SUM(Assumptions!D$17:D$23))</x:f>
        <x:v>22.759999999999998</x:v>
      </x:c>
      <x:c r="U12" s="18" t="n">
        <x:f>T12*Assumptions!D$7+Assumptions!D$13</x:f>
        <x:v>4096.799999999999</x:v>
      </x:c>
      <x:c r="V12" s="18" t="n">
        <x:f>U12*Assumptions!D$8</x:f>
        <x:v>5530.679999999999</x:v>
      </x:c>
      <x:c r="W12" s="22" t="n">
        <x:f>IF($A12&lt;Assumptions!D$9,0,V12*Assumptions!D$10*Assumptions!D$11/1000)</x:f>
        <x:v>42.03316799999999</x:v>
      </x:c>
      <x:c r="X12" s="22" t="n">
        <x:f>SUM(W$6:W12)</x:f>
        <x:v>103.53160799999999</x:v>
      </x:c>
      <x:c r="Y12" s="20" t="n">
        <x:f>W12*Assumptions!D$12</x:f>
        <x:v>302.63880959999995</x:v>
      </x:c>
      <x:c r="Z12" s="20" t="n">
        <x:f>X12*Assumptions!D$12</x:f>
        <x:v>745.4275776</x:v>
      </x:c>
    </x:row>
    <x:row r="13">
      <x:c r="A13" s="17" t="n">
        <x:v>8</x:v>
      </x:c>
      <x:c r="B13" s="17" t="str">
        <x:v>M8</x:v>
      </x:c>
      <x:c r="C13" s="17" t="n">
        <x:f>Assumptions!B$5+Assumptions!B$6*$A13</x:f>
        <x:v>26</x:v>
      </x:c>
      <x:c r="D13" s="17" t="n">
        <x:f>Assumptions!B$5*Assumptions!B$24+Assumptions!B$6*(SUM(Assumptions!B$17:B$24))</x:f>
        <x:v>6.859999999999999</x:v>
      </x:c>
      <x:c r="E13" s="18" t="n">
        <x:f>D13*Assumptions!B$7+Assumptions!B$13</x:f>
        <x:v>171.5</x:v>
      </x:c>
      <x:c r="F13" s="18" t="n">
        <x:f>E13*Assumptions!B$8</x:f>
        <x:v>205.79999999999998</x:v>
      </x:c>
      <x:c r="G13" s="22" t="n">
        <x:f>IF($A13&lt;Assumptions!B$9,0,F13*Assumptions!B$10*Assumptions!B$11/1000)</x:f>
        <x:v>0.24695999999999999</x:v>
      </x:c>
      <x:c r="H13" s="22" t="n">
        <x:f>SUM(G$6:G13)</x:f>
        <x:v>0.61704</x:v>
      </x:c>
      <x:c r="I13" s="20" t="n">
        <x:f>G13*Assumptions!B$12</x:f>
        <x:v>1.778112</x:v>
      </x:c>
      <x:c r="J13" s="20" t="n">
        <x:f>H13*Assumptions!B$12</x:f>
        <x:v>4.442688</x:v>
      </x:c>
      <x:c r="K13" s="17" t="n">
        <x:f>Assumptions!C$5+Assumptions!C$6*$A13</x:f>
        <x:v>42</x:v>
      </x:c>
      <x:c r="L13" s="17" t="n">
        <x:f>Assumptions!C$5*Assumptions!C$24+Assumptions!C$6*(SUM(Assumptions!C$17:C$24))</x:f>
        <x:v>13.98</x:v>
      </x:c>
      <x:c r="M13" s="18" t="n">
        <x:f>L13*Assumptions!C$7+Assumptions!C$13</x:f>
        <x:v>1048.5</x:v>
      </x:c>
      <x:c r="N13" s="18" t="n">
        <x:f>M13*Assumptions!C$8</x:f>
        <x:v>1310.625</x:v>
      </x:c>
      <x:c r="O13" s="22" t="n">
        <x:f>IF($A13&lt;Assumptions!C$9,0,N13*Assumptions!C$10*Assumptions!C$11/1000)</x:f>
        <x:v>4.71825</x:v>
      </x:c>
      <x:c r="P13" s="22" t="n">
        <x:f>SUM(O$6:O13)</x:f>
        <x:v>12.30525</x:v>
      </x:c>
      <x:c r="Q13" s="20" t="n">
        <x:f>O13*Assumptions!C$12</x:f>
        <x:v>33.9714</x:v>
      </x:c>
      <x:c r="R13" s="20" t="n">
        <x:f>P13*Assumptions!C$12</x:f>
        <x:v>88.59779999999999</x:v>
      </x:c>
      <x:c r="S13" s="17" t="n">
        <x:f>Assumptions!D$5+Assumptions!D$6*$A13</x:f>
        <x:v>74</x:v>
      </x:c>
      <x:c r="T13" s="17" t="n">
        <x:f>Assumptions!D$5*Assumptions!D$24+Assumptions!D$6*(SUM(Assumptions!D$17:D$24))</x:f>
        <x:v>31.06</x:v>
      </x:c>
      <x:c r="U13" s="18" t="n">
        <x:f>T13*Assumptions!D$7+Assumptions!D$13</x:f>
        <x:v>5590.8</x:v>
      </x:c>
      <x:c r="V13" s="18" t="n">
        <x:f>U13*Assumptions!D$8</x:f>
        <x:v>7547.580000000001</x:v>
      </x:c>
      <x:c r="W13" s="22" t="n">
        <x:f>IF($A13&lt;Assumptions!D$9,0,V13*Assumptions!D$10*Assumptions!D$11/1000)</x:f>
        <x:v>57.361608</x:v>
      </x:c>
      <x:c r="X13" s="22" t="n">
        <x:f>SUM(W$6:W13)</x:f>
        <x:v>160.893216</x:v>
      </x:c>
      <x:c r="Y13" s="20" t="n">
        <x:f>W13*Assumptions!D$12</x:f>
        <x:v>413.00357759999997</x:v>
      </x:c>
      <x:c r="Z13" s="20" t="n">
        <x:f>X13*Assumptions!D$12</x:f>
        <x:v>1158.4311552</x:v>
      </x:c>
    </x:row>
    <x:row r="14">
      <x:c r="A14" s="17" t="n">
        <x:v>9</x:v>
      </x:c>
      <x:c r="B14" s="17" t="str">
        <x:v>M9</x:v>
      </x:c>
      <x:c r="C14" s="17" t="n">
        <x:f>Assumptions!B$5+Assumptions!B$6*$A14</x:f>
        <x:v>28</x:v>
      </x:c>
      <x:c r="D14" s="17" t="n">
        <x:f>Assumptions!B$5*Assumptions!B$25+Assumptions!B$6*(SUM(Assumptions!B$17:B$25))</x:f>
        <x:v>9.559999999999999</x:v>
      </x:c>
      <x:c r="E14" s="18" t="n">
        <x:f>D14*Assumptions!B$7+Assumptions!B$13</x:f>
        <x:v>238.99999999999997</x:v>
      </x:c>
      <x:c r="F14" s="18" t="n">
        <x:f>E14*Assumptions!B$8</x:f>
        <x:v>286.79999999999995</x:v>
      </x:c>
      <x:c r="G14" s="22" t="n">
        <x:f>IF($A14&lt;Assumptions!B$9,0,F14*Assumptions!B$10*Assumptions!B$11/1000)</x:f>
        <x:v>0.34415999999999997</x:v>
      </x:c>
      <x:c r="H14" s="22" t="n">
        <x:f>SUM(G$6:G14)</x:f>
        <x:v>0.9612</x:v>
      </x:c>
      <x:c r="I14" s="20" t="n">
        <x:f>G14*Assumptions!B$12</x:f>
        <x:v>2.4779519999999997</x:v>
      </x:c>
      <x:c r="J14" s="20" t="n">
        <x:f>H14*Assumptions!B$12</x:f>
        <x:v>6.920640000000001</x:v>
      </x:c>
      <x:c r="K14" s="17" t="n">
        <x:f>Assumptions!C$5+Assumptions!C$6*$A14</x:f>
        <x:v>46</x:v>
      </x:c>
      <x:c r="L14" s="17" t="n">
        <x:f>Assumptions!C$5*Assumptions!C$25+Assumptions!C$6*(SUM(Assumptions!C$17:C$25))</x:f>
        <x:v>18.68</x:v>
      </x:c>
      <x:c r="M14" s="18" t="n">
        <x:f>L14*Assumptions!C$7+Assumptions!C$13</x:f>
        <x:v>1401</x:v>
      </x:c>
      <x:c r="N14" s="18" t="n">
        <x:f>M14*Assumptions!C$8</x:f>
        <x:v>1751.25</x:v>
      </x:c>
      <x:c r="O14" s="22" t="n">
        <x:f>IF($A14&lt;Assumptions!C$9,0,N14*Assumptions!C$10*Assumptions!C$11/1000)</x:f>
        <x:v>6.3045</x:v>
      </x:c>
      <x:c r="P14" s="22" t="n">
        <x:f>SUM(O$6:O14)</x:f>
        <x:v>18.60975</x:v>
      </x:c>
      <x:c r="Q14" s="20" t="n">
        <x:f>O14*Assumptions!C$12</x:f>
        <x:v>45.3924</x:v>
      </x:c>
      <x:c r="R14" s="20" t="n">
        <x:f>P14*Assumptions!C$12</x:f>
        <x:v>133.9902</x:v>
      </x:c>
      <x:c r="S14" s="17" t="n">
        <x:f>Assumptions!D$5+Assumptions!D$6*$A14</x:f>
        <x:v>82</x:v>
      </x:c>
      <x:c r="T14" s="17" t="n">
        <x:f>Assumptions!D$5*Assumptions!D$25+Assumptions!D$6*(SUM(Assumptions!D$17:D$25))</x:f>
        <x:v>39.66</x:v>
      </x:c>
      <x:c r="U14" s="18" t="n">
        <x:f>T14*Assumptions!D$7+Assumptions!D$13</x:f>
        <x:v>7138.799999999999</x:v>
      </x:c>
      <x:c r="V14" s="18" t="n">
        <x:f>U14*Assumptions!D$8</x:f>
        <x:v>9637.38</x:v>
      </x:c>
      <x:c r="W14" s="22" t="n">
        <x:f>IF($A14&lt;Assumptions!D$9,0,V14*Assumptions!D$10*Assumptions!D$11/1000)</x:f>
        <x:v>73.24408799999999</x:v>
      </x:c>
      <x:c r="X14" s="22" t="n">
        <x:f>SUM(W$6:W14)</x:f>
        <x:v>234.13730399999997</x:v>
      </x:c>
      <x:c r="Y14" s="20" t="n">
        <x:f>W14*Assumptions!D$12</x:f>
        <x:v>527.3574335999999</x:v>
      </x:c>
      <x:c r="Z14" s="20" t="n">
        <x:f>X14*Assumptions!D$12</x:f>
        <x:v>1685.7885887999998</x:v>
      </x:c>
    </x:row>
    <x:row r="15">
      <x:c r="A15" s="17" t="n">
        <x:v>10</x:v>
      </x:c>
      <x:c r="B15" s="17" t="str">
        <x:v>M10</x:v>
      </x:c>
      <x:c r="C15" s="17" t="n">
        <x:f>Assumptions!B$5+Assumptions!B$6*$A15</x:f>
        <x:v>30</x:v>
      </x:c>
      <x:c r="D15" s="17" t="n">
        <x:f>Assumptions!B$5*Assumptions!B$26+Assumptions!B$6*(SUM(Assumptions!B$17:B$26))</x:f>
        <x:v>12.559999999999999</x:v>
      </x:c>
      <x:c r="E15" s="18" t="n">
        <x:f>D15*Assumptions!B$7+Assumptions!B$13</x:f>
        <x:v>313.99999999999994</x:v>
      </x:c>
      <x:c r="F15" s="18" t="n">
        <x:f>E15*Assumptions!B$8</x:f>
        <x:v>376.7999999999999</x:v>
      </x:c>
      <x:c r="G15" s="22" t="n">
        <x:f>IF($A15&lt;Assumptions!B$9,0,F15*Assumptions!B$10*Assumptions!B$11/1000)</x:f>
        <x:v>0.4521599999999999</x:v>
      </x:c>
      <x:c r="H15" s="22" t="n">
        <x:f>SUM(G$6:G15)</x:f>
        <x:v>1.41336</x:v>
      </x:c>
      <x:c r="I15" s="20" t="n">
        <x:f>G15*Assumptions!B$12</x:f>
        <x:v>3.2555519999999993</x:v>
      </x:c>
      <x:c r="J15" s="20" t="n">
        <x:f>H15*Assumptions!B$12</x:f>
        <x:v>10.176192</x:v>
      </x:c>
      <x:c r="K15" s="17" t="n">
        <x:f>Assumptions!C$5+Assumptions!C$6*$A15</x:f>
        <x:v>50</x:v>
      </x:c>
      <x:c r="L15" s="17" t="n">
        <x:f>Assumptions!C$5*Assumptions!C$26+Assumptions!C$6*(SUM(Assumptions!C$17:C$26))</x:f>
        <x:v>23.28</x:v>
      </x:c>
      <x:c r="M15" s="18" t="n">
        <x:f>L15*Assumptions!C$7+Assumptions!C$13</x:f>
        <x:v>1746</x:v>
      </x:c>
      <x:c r="N15" s="18" t="n">
        <x:f>M15*Assumptions!C$8</x:f>
        <x:v>2182.5</x:v>
      </x:c>
      <x:c r="O15" s="22" t="n">
        <x:f>IF($A15&lt;Assumptions!C$9,0,N15*Assumptions!C$10*Assumptions!C$11/1000)</x:f>
        <x:v>7.857</x:v>
      </x:c>
      <x:c r="P15" s="22" t="n">
        <x:f>SUM(O$6:O15)</x:f>
        <x:v>26.466749999999998</x:v>
      </x:c>
      <x:c r="Q15" s="20" t="n">
        <x:f>O15*Assumptions!C$12</x:f>
        <x:v>56.5704</x:v>
      </x:c>
      <x:c r="R15" s="20" t="n">
        <x:f>P15*Assumptions!C$12</x:f>
        <x:v>190.5606</x:v>
      </x:c>
      <x:c r="S15" s="17" t="n">
        <x:f>Assumptions!D$5+Assumptions!D$6*$A15</x:f>
        <x:v>90</x:v>
      </x:c>
      <x:c r="T15" s="17" t="n">
        <x:f>Assumptions!D$5*Assumptions!D$26+Assumptions!D$6*(SUM(Assumptions!D$17:D$26))</x:f>
        <x:v>48.16</x:v>
      </x:c>
      <x:c r="U15" s="18" t="n">
        <x:f>T15*Assumptions!D$7+Assumptions!D$13</x:f>
        <x:v>8668.8</x:v>
      </x:c>
      <x:c r="V15" s="18" t="n">
        <x:f>U15*Assumptions!D$8</x:f>
        <x:v>11702.88</x:v>
      </x:c>
      <x:c r="W15" s="22" t="n">
        <x:f>IF($A15&lt;Assumptions!D$9,0,V15*Assumptions!D$10*Assumptions!D$11/1000)</x:f>
        <x:v>88.94188799999999</x:v>
      </x:c>
      <x:c r="X15" s="22" t="n">
        <x:f>SUM(W$6:W15)</x:f>
        <x:v>323.079192</x:v>
      </x:c>
      <x:c r="Y15" s="20" t="n">
        <x:f>W15*Assumptions!D$12</x:f>
        <x:v>640.3815936</x:v>
      </x:c>
      <x:c r="Z15" s="20" t="n">
        <x:f>X15*Assumptions!D$12</x:f>
        <x:v>2326.1701823999997</x:v>
      </x:c>
    </x:row>
    <x:row r="16">
      <x:c r="A16" s="17" t="n">
        <x:v>11</x:v>
      </x:c>
      <x:c r="B16" s="17" t="str">
        <x:v>M11</x:v>
      </x:c>
      <x:c r="C16" s="17" t="n">
        <x:f>Assumptions!B$5+Assumptions!B$6*$A16</x:f>
        <x:v>32</x:v>
      </x:c>
      <x:c r="D16" s="17" t="n">
        <x:f>Assumptions!B$5*Assumptions!B$27+Assumptions!B$6*(SUM(Assumptions!B$17:B$27))</x:f>
        <x:v>15.86</x:v>
      </x:c>
      <x:c r="E16" s="18" t="n">
        <x:f>D16*Assumptions!B$7+Assumptions!B$13</x:f>
        <x:v>396.5</x:v>
      </x:c>
      <x:c r="F16" s="18" t="n">
        <x:f>E16*Assumptions!B$8</x:f>
        <x:v>475.79999999999995</x:v>
      </x:c>
      <x:c r="G16" s="22" t="n">
        <x:f>IF($A16&lt;Assumptions!B$9,0,F16*Assumptions!B$10*Assumptions!B$11/1000)</x:f>
        <x:v>0.57096</x:v>
      </x:c>
      <x:c r="H16" s="22" t="n">
        <x:f>SUM(G$6:G16)</x:f>
        <x:v>1.9843199999999999</x:v>
      </x:c>
      <x:c r="I16" s="20" t="n">
        <x:f>G16*Assumptions!B$12</x:f>
        <x:v>4.110912</x:v>
      </x:c>
      <x:c r="J16" s="20" t="n">
        <x:f>H16*Assumptions!B$12</x:f>
        <x:v>14.287104</x:v>
      </x:c>
      <x:c r="K16" s="17" t="n">
        <x:f>Assumptions!C$5+Assumptions!C$6*$A16</x:f>
        <x:v>54</x:v>
      </x:c>
      <x:c r="L16" s="17" t="n">
        <x:f>Assumptions!C$5*Assumptions!C$27+Assumptions!C$6*(SUM(Assumptions!C$17:C$27))</x:f>
        <x:v>28.28</x:v>
      </x:c>
      <x:c r="M16" s="18" t="n">
        <x:f>L16*Assumptions!C$7+Assumptions!C$13</x:f>
        <x:v>2121</x:v>
      </x:c>
      <x:c r="N16" s="18" t="n">
        <x:f>M16*Assumptions!C$8</x:f>
        <x:v>2651.25</x:v>
      </x:c>
      <x:c r="O16" s="22" t="n">
        <x:f>IF($A16&lt;Assumptions!C$9,0,N16*Assumptions!C$10*Assumptions!C$11/1000)</x:f>
        <x:v>9.5445</x:v>
      </x:c>
      <x:c r="P16" s="22" t="n">
        <x:f>SUM(O$6:O16)</x:f>
        <x:v>36.01125</x:v>
      </x:c>
      <x:c r="Q16" s="20" t="n">
        <x:f>O16*Assumptions!C$12</x:f>
        <x:v>68.7204</x:v>
      </x:c>
      <x:c r="R16" s="20" t="n">
        <x:f>P16*Assumptions!C$12</x:f>
        <x:v>259.281</x:v>
      </x:c>
      <x:c r="S16" s="17" t="n">
        <x:f>Assumptions!D$5+Assumptions!D$6*$A16</x:f>
        <x:v>98</x:v>
      </x:c>
      <x:c r="T16" s="17" t="n">
        <x:f>Assumptions!D$5*Assumptions!D$27+Assumptions!D$6*(SUM(Assumptions!D$17:D$27))</x:f>
        <x:v>56.16</x:v>
      </x:c>
      <x:c r="U16" s="18" t="n">
        <x:f>T16*Assumptions!D$7+Assumptions!D$13</x:f>
        <x:v>10108.8</x:v>
      </x:c>
      <x:c r="V16" s="18" t="n">
        <x:f>U16*Assumptions!D$8</x:f>
        <x:v>13646.88</x:v>
      </x:c>
      <x:c r="W16" s="22" t="n">
        <x:f>IF($A16&lt;Assumptions!D$9,0,V16*Assumptions!D$10*Assumptions!D$11/1000)</x:f>
        <x:v>103.71628799999999</x:v>
      </x:c>
      <x:c r="X16" s="22" t="n">
        <x:f>SUM(W$6:W16)</x:f>
        <x:v>426.79548</x:v>
      </x:c>
      <x:c r="Y16" s="20" t="n">
        <x:f>W16*Assumptions!D$12</x:f>
        <x:v>746.7572736</x:v>
      </x:c>
      <x:c r="Z16" s="20" t="n">
        <x:f>X16*Assumptions!D$12</x:f>
        <x:v>3072.927456</x:v>
      </x:c>
    </x:row>
    <x:row r="17">
      <x:c r="A17" s="17" t="n">
        <x:v>12</x:v>
      </x:c>
      <x:c r="B17" s="17" t="str">
        <x:v>M12</x:v>
      </x:c>
      <x:c r="C17" s="17" t="n">
        <x:f>Assumptions!B$5+Assumptions!B$6*$A17</x:f>
        <x:v>34</x:v>
      </x:c>
      <x:c r="D17" s="17" t="n">
        <x:f>Assumptions!B$5*Assumptions!B$28+Assumptions!B$6*(SUM(Assumptions!B$17:B$28))</x:f>
        <x:v>18.86</x:v>
      </x:c>
      <x:c r="E17" s="18" t="n">
        <x:f>D17*Assumptions!B$7+Assumptions!B$13</x:f>
        <x:v>471.5</x:v>
      </x:c>
      <x:c r="F17" s="18" t="n">
        <x:f>E17*Assumptions!B$8</x:f>
        <x:v>565.8</x:v>
      </x:c>
      <x:c r="G17" s="22" t="n">
        <x:f>IF($A17&lt;Assumptions!B$9,0,F17*Assumptions!B$10*Assumptions!B$11/1000)</x:f>
        <x:v>0.67896</x:v>
      </x:c>
      <x:c r="H17" s="22" t="n">
        <x:f>SUM(G$6:G17)</x:f>
        <x:v>2.66328</x:v>
      </x:c>
      <x:c r="I17" s="20" t="n">
        <x:f>G17*Assumptions!B$12</x:f>
        <x:v>4.888512</x:v>
      </x:c>
      <x:c r="J17" s="20" t="n">
        <x:f>H17*Assumptions!B$12</x:f>
        <x:v>19.175615999999998</x:v>
      </x:c>
      <x:c r="K17" s="17" t="n">
        <x:f>Assumptions!C$5+Assumptions!C$6*$A17</x:f>
        <x:v>58</x:v>
      </x:c>
      <x:c r="L17" s="17" t="n">
        <x:f>Assumptions!C$5*Assumptions!C$28+Assumptions!C$6*(SUM(Assumptions!C$17:C$28))</x:f>
        <x:v>32.28</x:v>
      </x:c>
      <x:c r="M17" s="18" t="n">
        <x:f>L17*Assumptions!C$7+Assumptions!C$13</x:f>
        <x:v>2421</x:v>
      </x:c>
      <x:c r="N17" s="18" t="n">
        <x:f>M17*Assumptions!C$8</x:f>
        <x:v>3026.25</x:v>
      </x:c>
      <x:c r="O17" s="22" t="n">
        <x:f>IF($A17&lt;Assumptions!C$9,0,N17*Assumptions!C$10*Assumptions!C$11/1000)</x:f>
        <x:v>10.8945</x:v>
      </x:c>
      <x:c r="P17" s="22" t="n">
        <x:f>SUM(O$6:O17)</x:f>
        <x:v>46.90575</x:v>
      </x:c>
      <x:c r="Q17" s="20" t="n">
        <x:f>O17*Assumptions!C$12</x:f>
        <x:v>78.44040000000001</x:v>
      </x:c>
      <x:c r="R17" s="20" t="n">
        <x:f>P17*Assumptions!C$12</x:f>
        <x:v>337.7214</x:v>
      </x:c>
      <x:c r="S17" s="17" t="n">
        <x:f>Assumptions!D$5+Assumptions!D$6*$A17</x:f>
        <x:v>106</x:v>
      </x:c>
      <x:c r="T17" s="17" t="n">
        <x:f>Assumptions!D$5*Assumptions!D$28+Assumptions!D$6*(SUM(Assumptions!D$17:D$28))</x:f>
        <x:v>64.16</x:v>
      </x:c>
      <x:c r="U17" s="18" t="n">
        <x:f>T17*Assumptions!D$7+Assumptions!D$13</x:f>
        <x:v>11548.8</x:v>
      </x:c>
      <x:c r="V17" s="18" t="n">
        <x:f>U17*Assumptions!D$8</x:f>
        <x:v>15590.88</x:v>
      </x:c>
      <x:c r="W17" s="22" t="n">
        <x:f>IF($A17&lt;Assumptions!D$9,0,V17*Assumptions!D$10*Assumptions!D$11/1000)</x:f>
        <x:v>118.49068799999999</x:v>
      </x:c>
      <x:c r="X17" s="22" t="n">
        <x:f>SUM(W$6:W17)</x:f>
        <x:v>545.286168</x:v>
      </x:c>
      <x:c r="Y17" s="20" t="n">
        <x:f>W17*Assumptions!D$12</x:f>
        <x:v>853.1329536</x:v>
      </x:c>
      <x:c r="Z17" s="20" t="n">
        <x:f>X17*Assumptions!D$12</x:f>
        <x:v>3926.0604095999997</x:v>
      </x:c>
    </x:row>
    <x:row r="18">
      <x:c r="A18" s="17" t="n">
        <x:v>13</x:v>
      </x:c>
      <x:c r="B18" s="17" t="str">
        <x:v>M13</x:v>
      </x:c>
      <x:c r="C18" s="17" t="n">
        <x:f>Assumptions!B$5+Assumptions!B$6*$A18</x:f>
        <x:v>36</x:v>
      </x:c>
      <x:c r="D18" s="17" t="n">
        <x:f>Assumptions!B$5*Assumptions!B$28+Assumptions!B$6*(SUM(Assumptions!B$17:B$28)+($A18-12)*Assumptions!B$28)</x:f>
        <x:v>20.86</x:v>
      </x:c>
      <x:c r="E18" s="18" t="n">
        <x:f>D18*Assumptions!B$7+Assumptions!B$13</x:f>
        <x:v>521.5</x:v>
      </x:c>
      <x:c r="F18" s="18" t="n">
        <x:f>E18*Assumptions!B$8</x:f>
        <x:v>625.8</x:v>
      </x:c>
      <x:c r="G18" s="22" t="n">
        <x:f>IF($A18&lt;Assumptions!B$9,0,F18*Assumptions!B$10*Assumptions!B$11/1000)</x:f>
        <x:v>0.7509600000000001</x:v>
      </x:c>
      <x:c r="H18" s="22" t="n">
        <x:f>SUM(G$6:G18)</x:f>
        <x:v>3.41424</x:v>
      </x:c>
      <x:c r="I18" s="20" t="n">
        <x:f>G18*Assumptions!B$12</x:f>
        <x:v>5.406912000000001</x:v>
      </x:c>
      <x:c r="J18" s="20" t="n">
        <x:f>H18*Assumptions!B$12</x:f>
        <x:v>24.582528</x:v>
      </x:c>
      <x:c r="K18" s="17" t="n">
        <x:f>Assumptions!C$5+Assumptions!C$6*$A18</x:f>
        <x:v>62</x:v>
      </x:c>
      <x:c r="L18" s="17" t="n">
        <x:f>Assumptions!C$5*Assumptions!C$28+Assumptions!C$6*(SUM(Assumptions!C$17:C$28)+($A18-12)*Assumptions!C$28)</x:f>
        <x:v>36.28</x:v>
      </x:c>
      <x:c r="M18" s="18" t="n">
        <x:f>L18*Assumptions!C$7+Assumptions!C$13</x:f>
        <x:v>2721</x:v>
      </x:c>
      <x:c r="N18" s="18" t="n">
        <x:f>M18*Assumptions!C$8</x:f>
        <x:v>3401.25</x:v>
      </x:c>
      <x:c r="O18" s="22" t="n">
        <x:f>IF($A18&lt;Assumptions!C$9,0,N18*Assumptions!C$10*Assumptions!C$11/1000)</x:f>
        <x:v>12.2445</x:v>
      </x:c>
      <x:c r="P18" s="22" t="n">
        <x:f>SUM(O$6:O18)</x:f>
        <x:v>59.15025</x:v>
      </x:c>
      <x:c r="Q18" s="20" t="n">
        <x:f>O18*Assumptions!C$12</x:f>
        <x:v>88.16040000000001</x:v>
      </x:c>
      <x:c r="R18" s="20" t="n">
        <x:f>P18*Assumptions!C$12</x:f>
        <x:v>425.8818</x:v>
      </x:c>
      <x:c r="S18" s="17" t="n">
        <x:f>Assumptions!D$5+Assumptions!D$6*$A18</x:f>
        <x:v>114</x:v>
      </x:c>
      <x:c r="T18" s="17" t="n">
        <x:f>Assumptions!D$5*Assumptions!D$28+Assumptions!D$6*(SUM(Assumptions!D$17:D$28)+($A18-12)*Assumptions!D$28)</x:f>
        <x:v>72.16</x:v>
      </x:c>
      <x:c r="U18" s="18" t="n">
        <x:f>T18*Assumptions!D$7+Assumptions!D$13</x:f>
        <x:v>12988.8</x:v>
      </x:c>
      <x:c r="V18" s="18" t="n">
        <x:f>U18*Assumptions!D$8</x:f>
        <x:v>17534.88</x:v>
      </x:c>
      <x:c r="W18" s="22" t="n">
        <x:f>IF($A18&lt;Assumptions!D$9,0,V18*Assumptions!D$10*Assumptions!D$11/1000)</x:f>
        <x:v>133.265088</x:v>
      </x:c>
      <x:c r="X18" s="22" t="n">
        <x:f>SUM(W$6:W18)</x:f>
        <x:v>678.551256</x:v>
      </x:c>
      <x:c r="Y18" s="20" t="n">
        <x:f>W18*Assumptions!D$12</x:f>
        <x:v>959.5086335999999</x:v>
      </x:c>
      <x:c r="Z18" s="20" t="n">
        <x:f>X18*Assumptions!D$12</x:f>
        <x:v>4885.5690432</x:v>
      </x:c>
    </x:row>
    <x:row r="19">
      <x:c r="A19" s="17" t="n">
        <x:v>14</x:v>
      </x:c>
      <x:c r="B19" s="17" t="str">
        <x:v>M14</x:v>
      </x:c>
      <x:c r="C19" s="17" t="n">
        <x:f>Assumptions!B$5+Assumptions!B$6*$A19</x:f>
        <x:v>38</x:v>
      </x:c>
      <x:c r="D19" s="17" t="n">
        <x:f>Assumptions!B$5*Assumptions!B$28+Assumptions!B$6*(SUM(Assumptions!B$17:B$28)+($A19-12)*Assumptions!B$28)</x:f>
        <x:v>22.86</x:v>
      </x:c>
      <x:c r="E19" s="18" t="n">
        <x:f>D19*Assumptions!B$7+Assumptions!B$13</x:f>
        <x:v>571.5</x:v>
      </x:c>
      <x:c r="F19" s="18" t="n">
        <x:f>E19*Assumptions!B$8</x:f>
        <x:v>685.8</x:v>
      </x:c>
      <x:c r="G19" s="22" t="n">
        <x:f>IF($A19&lt;Assumptions!B$9,0,F19*Assumptions!B$10*Assumptions!B$11/1000)</x:f>
        <x:v>0.82296</x:v>
      </x:c>
      <x:c r="H19" s="22" t="n">
        <x:f>SUM(G$6:G19)</x:f>
        <x:v>4.2372</x:v>
      </x:c>
      <x:c r="I19" s="20" t="n">
        <x:f>G19*Assumptions!B$12</x:f>
        <x:v>5.925312</x:v>
      </x:c>
      <x:c r="J19" s="20" t="n">
        <x:f>H19*Assumptions!B$12</x:f>
        <x:v>30.507839999999998</x:v>
      </x:c>
      <x:c r="K19" s="17" t="n">
        <x:f>Assumptions!C$5+Assumptions!C$6*$A19</x:f>
        <x:v>66</x:v>
      </x:c>
      <x:c r="L19" s="17" t="n">
        <x:f>Assumptions!C$5*Assumptions!C$28+Assumptions!C$6*(SUM(Assumptions!C$17:C$28)+($A19-12)*Assumptions!C$28)</x:f>
        <x:v>40.28</x:v>
      </x:c>
      <x:c r="M19" s="18" t="n">
        <x:f>L19*Assumptions!C$7+Assumptions!C$13</x:f>
        <x:v>3021</x:v>
      </x:c>
      <x:c r="N19" s="18" t="n">
        <x:f>M19*Assumptions!C$8</x:f>
        <x:v>3776.25</x:v>
      </x:c>
      <x:c r="O19" s="22" t="n">
        <x:f>IF($A19&lt;Assumptions!C$9,0,N19*Assumptions!C$10*Assumptions!C$11/1000)</x:f>
        <x:v>13.5945</x:v>
      </x:c>
      <x:c r="P19" s="22" t="n">
        <x:f>SUM(O$6:O19)</x:f>
        <x:v>72.74475</x:v>
      </x:c>
      <x:c r="Q19" s="20" t="n">
        <x:f>O19*Assumptions!C$12</x:f>
        <x:v>97.88040000000001</x:v>
      </x:c>
      <x:c r="R19" s="20" t="n">
        <x:f>P19*Assumptions!C$12</x:f>
        <x:v>523.7622</x:v>
      </x:c>
      <x:c r="S19" s="17" t="n">
        <x:f>Assumptions!D$5+Assumptions!D$6*$A19</x:f>
        <x:v>122</x:v>
      </x:c>
      <x:c r="T19" s="17" t="n">
        <x:f>Assumptions!D$5*Assumptions!D$28+Assumptions!D$6*(SUM(Assumptions!D$17:D$28)+($A19-12)*Assumptions!D$28)</x:f>
        <x:v>80.16</x:v>
      </x:c>
      <x:c r="U19" s="18" t="n">
        <x:f>T19*Assumptions!D$7+Assumptions!D$13</x:f>
        <x:v>14428.8</x:v>
      </x:c>
      <x:c r="V19" s="18" t="n">
        <x:f>U19*Assumptions!D$8</x:f>
        <x:v>19478.88</x:v>
      </x:c>
      <x:c r="W19" s="22" t="n">
        <x:f>IF($A19&lt;Assumptions!D$9,0,V19*Assumptions!D$10*Assumptions!D$11/1000)</x:f>
        <x:v>148.039488</x:v>
      </x:c>
      <x:c r="X19" s="22" t="n">
        <x:f>SUM(W$6:W19)</x:f>
        <x:v>826.590744</x:v>
      </x:c>
      <x:c r="Y19" s="20" t="n">
        <x:f>W19*Assumptions!D$12</x:f>
        <x:v>1065.8843136</x:v>
      </x:c>
      <x:c r="Z19" s="20" t="n">
        <x:f>X19*Assumptions!D$12</x:f>
        <x:v>5951.4533568</x:v>
      </x:c>
    </x:row>
    <x:row r="20">
      <x:c r="A20" s="17" t="n">
        <x:v>15</x:v>
      </x:c>
      <x:c r="B20" s="17" t="str">
        <x:v>M15</x:v>
      </x:c>
      <x:c r="C20" s="17" t="n">
        <x:f>Assumptions!B$5+Assumptions!B$6*$A20</x:f>
        <x:v>40</x:v>
      </x:c>
      <x:c r="D20" s="17" t="n">
        <x:f>Assumptions!B$5*Assumptions!B$28+Assumptions!B$6*(SUM(Assumptions!B$17:B$28)+($A20-12)*Assumptions!B$28)</x:f>
        <x:v>24.86</x:v>
      </x:c>
      <x:c r="E20" s="18" t="n">
        <x:f>D20*Assumptions!B$7+Assumptions!B$13</x:f>
        <x:v>621.5</x:v>
      </x:c>
      <x:c r="F20" s="18" t="n">
        <x:f>E20*Assumptions!B$8</x:f>
        <x:v>745.8</x:v>
      </x:c>
      <x:c r="G20" s="22" t="n">
        <x:f>IF($A20&lt;Assumptions!B$9,0,F20*Assumptions!B$10*Assumptions!B$11/1000)</x:f>
        <x:v>0.8949600000000001</x:v>
      </x:c>
      <x:c r="H20" s="22" t="n">
        <x:f>SUM(G$6:G20)</x:f>
        <x:v>5.13216</x:v>
      </x:c>
      <x:c r="I20" s="20" t="n">
        <x:f>G20*Assumptions!B$12</x:f>
        <x:v>6.4437120000000006</x:v>
      </x:c>
      <x:c r="J20" s="20" t="n">
        <x:f>H20*Assumptions!B$12</x:f>
        <x:v>36.951552</x:v>
      </x:c>
      <x:c r="K20" s="17" t="n">
        <x:f>Assumptions!C$5+Assumptions!C$6*$A20</x:f>
        <x:v>70</x:v>
      </x:c>
      <x:c r="L20" s="17" t="n">
        <x:f>Assumptions!C$5*Assumptions!C$28+Assumptions!C$6*(SUM(Assumptions!C$17:C$28)+($A20-12)*Assumptions!C$28)</x:f>
        <x:v>44.28</x:v>
      </x:c>
      <x:c r="M20" s="18" t="n">
        <x:f>L20*Assumptions!C$7+Assumptions!C$13</x:f>
        <x:v>3321</x:v>
      </x:c>
      <x:c r="N20" s="18" t="n">
        <x:f>M20*Assumptions!C$8</x:f>
        <x:v>4151.25</x:v>
      </x:c>
      <x:c r="O20" s="22" t="n">
        <x:f>IF($A20&lt;Assumptions!C$9,0,N20*Assumptions!C$10*Assumptions!C$11/1000)</x:f>
        <x:v>14.9445</x:v>
      </x:c>
      <x:c r="P20" s="22" t="n">
        <x:f>SUM(O$6:O20)</x:f>
        <x:v>87.68925</x:v>
      </x:c>
      <x:c r="Q20" s="20" t="n">
        <x:f>O20*Assumptions!C$12</x:f>
        <x:v>107.6004</x:v>
      </x:c>
      <x:c r="R20" s="20" t="n">
        <x:f>P20*Assumptions!C$12</x:f>
        <x:v>631.3626</x:v>
      </x:c>
      <x:c r="S20" s="17" t="n">
        <x:f>Assumptions!D$5+Assumptions!D$6*$A20</x:f>
        <x:v>130</x:v>
      </x:c>
      <x:c r="T20" s="17" t="n">
        <x:f>Assumptions!D$5*Assumptions!D$28+Assumptions!D$6*(SUM(Assumptions!D$17:D$28)+($A20-12)*Assumptions!D$28)</x:f>
        <x:v>88.16</x:v>
      </x:c>
      <x:c r="U20" s="18" t="n">
        <x:f>T20*Assumptions!D$7+Assumptions!D$13</x:f>
        <x:v>15868.8</x:v>
      </x:c>
      <x:c r="V20" s="18" t="n">
        <x:f>U20*Assumptions!D$8</x:f>
        <x:v>21422.88</x:v>
      </x:c>
      <x:c r="W20" s="22" t="n">
        <x:f>IF($A20&lt;Assumptions!D$9,0,V20*Assumptions!D$10*Assumptions!D$11/1000)</x:f>
        <x:v>162.81388800000002</x:v>
      </x:c>
      <x:c r="X20" s="22" t="n">
        <x:f>SUM(W$6:W20)</x:f>
        <x:v>989.404632</x:v>
      </x:c>
      <x:c r="Y20" s="20" t="n">
        <x:f>W20*Assumptions!D$12</x:f>
        <x:v>1172.2599936000001</x:v>
      </x:c>
      <x:c r="Z20" s="20" t="n">
        <x:f>X20*Assumptions!D$12</x:f>
        <x:v>7123.7133504</x:v>
      </x:c>
    </x:row>
    <x:row r="21">
      <x:c r="A21" s="17" t="n">
        <x:v>16</x:v>
      </x:c>
      <x:c r="B21" s="17" t="str">
        <x:v>M16</x:v>
      </x:c>
      <x:c r="C21" s="17" t="n">
        <x:f>Assumptions!B$5+Assumptions!B$6*$A21</x:f>
        <x:v>42</x:v>
      </x:c>
      <x:c r="D21" s="17" t="n">
        <x:f>Assumptions!B$5*Assumptions!B$28+Assumptions!B$6*(SUM(Assumptions!B$17:B$28)+($A21-12)*Assumptions!B$28)</x:f>
        <x:v>26.86</x:v>
      </x:c>
      <x:c r="E21" s="18" t="n">
        <x:f>D21*Assumptions!B$7+Assumptions!B$13</x:f>
        <x:v>671.5</x:v>
      </x:c>
      <x:c r="F21" s="18" t="n">
        <x:f>E21*Assumptions!B$8</x:f>
        <x:v>805.8</x:v>
      </x:c>
      <x:c r="G21" s="22" t="n">
        <x:f>IF($A21&lt;Assumptions!B$9,0,F21*Assumptions!B$10*Assumptions!B$11/1000)</x:f>
        <x:v>0.96696</x:v>
      </x:c>
      <x:c r="H21" s="22" t="n">
        <x:f>SUM(G$6:G21)</x:f>
        <x:v>6.09912</x:v>
      </x:c>
      <x:c r="I21" s="20" t="n">
        <x:f>G21*Assumptions!B$12</x:f>
        <x:v>6.962112</x:v>
      </x:c>
      <x:c r="J21" s="20" t="n">
        <x:f>H21*Assumptions!B$12</x:f>
        <x:v>43.913664000000004</x:v>
      </x:c>
      <x:c r="K21" s="17" t="n">
        <x:f>Assumptions!C$5+Assumptions!C$6*$A21</x:f>
        <x:v>74</x:v>
      </x:c>
      <x:c r="L21" s="17" t="n">
        <x:f>Assumptions!C$5*Assumptions!C$28+Assumptions!C$6*(SUM(Assumptions!C$17:C$28)+($A21-12)*Assumptions!C$28)</x:f>
        <x:v>48.28</x:v>
      </x:c>
      <x:c r="M21" s="18" t="n">
        <x:f>L21*Assumptions!C$7+Assumptions!C$13</x:f>
        <x:v>3621</x:v>
      </x:c>
      <x:c r="N21" s="18" t="n">
        <x:f>M21*Assumptions!C$8</x:f>
        <x:v>4526.25</x:v>
      </x:c>
      <x:c r="O21" s="22" t="n">
        <x:f>IF($A21&lt;Assumptions!C$9,0,N21*Assumptions!C$10*Assumptions!C$11/1000)</x:f>
        <x:v>16.2945</x:v>
      </x:c>
      <x:c r="P21" s="22" t="n">
        <x:f>SUM(O$6:O21)</x:f>
        <x:v>103.98375</x:v>
      </x:c>
      <x:c r="Q21" s="20" t="n">
        <x:f>O21*Assumptions!C$12</x:f>
        <x:v>117.32039999999999</x:v>
      </x:c>
      <x:c r="R21" s="20" t="n">
        <x:f>P21*Assumptions!C$12</x:f>
        <x:v>748.683</x:v>
      </x:c>
      <x:c r="S21" s="17" t="n">
        <x:f>Assumptions!D$5+Assumptions!D$6*$A21</x:f>
        <x:v>138</x:v>
      </x:c>
      <x:c r="T21" s="17" t="n">
        <x:f>Assumptions!D$5*Assumptions!D$28+Assumptions!D$6*(SUM(Assumptions!D$17:D$28)+($A21-12)*Assumptions!D$28)</x:f>
        <x:v>96.16</x:v>
      </x:c>
      <x:c r="U21" s="18" t="n">
        <x:f>T21*Assumptions!D$7+Assumptions!D$13</x:f>
        <x:v>17308.8</x:v>
      </x:c>
      <x:c r="V21" s="18" t="n">
        <x:f>U21*Assumptions!D$8</x:f>
        <x:v>23366.88</x:v>
      </x:c>
      <x:c r="W21" s="22" t="n">
        <x:f>IF($A21&lt;Assumptions!D$9,0,V21*Assumptions!D$10*Assumptions!D$11/1000)</x:f>
        <x:v>177.588288</x:v>
      </x:c>
      <x:c r="X21" s="22" t="n">
        <x:f>SUM(W$6:W21)</x:f>
        <x:v>1166.99292</x:v>
      </x:c>
      <x:c r="Y21" s="20" t="n">
        <x:f>W21*Assumptions!D$12</x:f>
        <x:v>1278.6356736</x:v>
      </x:c>
      <x:c r="Z21" s="20" t="n">
        <x:f>X21*Assumptions!D$12</x:f>
        <x:v>8402.349024</x:v>
      </x:c>
    </x:row>
    <x:row r="22">
      <x:c r="A22" s="17" t="n">
        <x:v>17</x:v>
      </x:c>
      <x:c r="B22" s="17" t="str">
        <x:v>M17</x:v>
      </x:c>
      <x:c r="C22" s="17" t="n">
        <x:f>Assumptions!B$5+Assumptions!B$6*$A22</x:f>
        <x:v>44</x:v>
      </x:c>
      <x:c r="D22" s="17" t="n">
        <x:f>Assumptions!B$5*Assumptions!B$28+Assumptions!B$6*(SUM(Assumptions!B$17:B$28)+($A22-12)*Assumptions!B$28)</x:f>
        <x:v>28.86</x:v>
      </x:c>
      <x:c r="E22" s="18" t="n">
        <x:f>D22*Assumptions!B$7+Assumptions!B$13</x:f>
        <x:v>721.5</x:v>
      </x:c>
      <x:c r="F22" s="18" t="n">
        <x:f>E22*Assumptions!B$8</x:f>
        <x:v>865.8</x:v>
      </x:c>
      <x:c r="G22" s="22" t="n">
        <x:f>IF($A22&lt;Assumptions!B$9,0,F22*Assumptions!B$10*Assumptions!B$11/1000)</x:f>
        <x:v>1.03896</x:v>
      </x:c>
      <x:c r="H22" s="22" t="n">
        <x:f>SUM(G$6:G22)</x:f>
        <x:v>7.13808</x:v>
      </x:c>
      <x:c r="I22" s="20" t="n">
        <x:f>G22*Assumptions!B$12</x:f>
        <x:v>7.480512000000001</x:v>
      </x:c>
      <x:c r="J22" s="20" t="n">
        <x:f>H22*Assumptions!B$12</x:f>
        <x:v>51.394176</x:v>
      </x:c>
      <x:c r="K22" s="17" t="n">
        <x:f>Assumptions!C$5+Assumptions!C$6*$A22</x:f>
        <x:v>78</x:v>
      </x:c>
      <x:c r="L22" s="17" t="n">
        <x:f>Assumptions!C$5*Assumptions!C$28+Assumptions!C$6*(SUM(Assumptions!C$17:C$28)+($A22-12)*Assumptions!C$28)</x:f>
        <x:v>52.28</x:v>
      </x:c>
      <x:c r="M22" s="18" t="n">
        <x:f>L22*Assumptions!C$7+Assumptions!C$13</x:f>
        <x:v>3921</x:v>
      </x:c>
      <x:c r="N22" s="18" t="n">
        <x:f>M22*Assumptions!C$8</x:f>
        <x:v>4901.25</x:v>
      </x:c>
      <x:c r="O22" s="22" t="n">
        <x:f>IF($A22&lt;Assumptions!C$9,0,N22*Assumptions!C$10*Assumptions!C$11/1000)</x:f>
        <x:v>17.6445</x:v>
      </x:c>
      <x:c r="P22" s="22" t="n">
        <x:f>SUM(O$6:O22)</x:f>
        <x:v>121.62825000000001</x:v>
      </x:c>
      <x:c r="Q22" s="20" t="n">
        <x:f>O22*Assumptions!C$12</x:f>
        <x:v>127.0404</x:v>
      </x:c>
      <x:c r="R22" s="20" t="n">
        <x:f>P22*Assumptions!C$12</x:f>
        <x:v>875.7234000000001</x:v>
      </x:c>
      <x:c r="S22" s="17" t="n">
        <x:f>Assumptions!D$5+Assumptions!D$6*$A22</x:f>
        <x:v>146</x:v>
      </x:c>
      <x:c r="T22" s="17" t="n">
        <x:f>Assumptions!D$5*Assumptions!D$28+Assumptions!D$6*(SUM(Assumptions!D$17:D$28)+($A22-12)*Assumptions!D$28)</x:f>
        <x:v>104.16</x:v>
      </x:c>
      <x:c r="U22" s="18" t="n">
        <x:f>T22*Assumptions!D$7+Assumptions!D$13</x:f>
        <x:v>18748.8</x:v>
      </x:c>
      <x:c r="V22" s="18" t="n">
        <x:f>U22*Assumptions!D$8</x:f>
        <x:v>25310.88</x:v>
      </x:c>
      <x:c r="W22" s="22" t="n">
        <x:f>IF($A22&lt;Assumptions!D$9,0,V22*Assumptions!D$10*Assumptions!D$11/1000)</x:f>
        <x:v>192.362688</x:v>
      </x:c>
      <x:c r="X22" s="22" t="n">
        <x:f>SUM(W$6:W22)</x:f>
        <x:v>1359.3556079999998</x:v>
      </x:c>
      <x:c r="Y22" s="20" t="n">
        <x:f>W22*Assumptions!D$12</x:f>
        <x:v>1385.0113536</x:v>
      </x:c>
      <x:c r="Z22" s="20" t="n">
        <x:f>X22*Assumptions!D$12</x:f>
        <x:v>9787.3603776</x:v>
      </x:c>
    </x:row>
    <x:row r="23">
      <x:c r="A23" s="17" t="n">
        <x:v>18</x:v>
      </x:c>
      <x:c r="B23" s="17" t="str">
        <x:v>M18</x:v>
      </x:c>
      <x:c r="C23" s="17" t="n">
        <x:f>Assumptions!B$5+Assumptions!B$6*$A23</x:f>
        <x:v>46</x:v>
      </x:c>
      <x:c r="D23" s="17" t="n">
        <x:f>Assumptions!B$5*Assumptions!B$28+Assumptions!B$6*(SUM(Assumptions!B$17:B$28)+($A23-12)*Assumptions!B$28)</x:f>
        <x:v>30.86</x:v>
      </x:c>
      <x:c r="E23" s="18" t="n">
        <x:f>D23*Assumptions!B$7+Assumptions!B$13</x:f>
        <x:v>771.5</x:v>
      </x:c>
      <x:c r="F23" s="18" t="n">
        <x:f>E23*Assumptions!B$8</x:f>
        <x:v>925.8</x:v>
      </x:c>
      <x:c r="G23" s="22" t="n">
        <x:f>IF($A23&lt;Assumptions!B$9,0,F23*Assumptions!B$10*Assumptions!B$11/1000)</x:f>
        <x:v>1.11096</x:v>
      </x:c>
      <x:c r="H23" s="22" t="n">
        <x:f>SUM(G$6:G23)</x:f>
        <x:v>8.24904</x:v>
      </x:c>
      <x:c r="I23" s="20" t="n">
        <x:f>G23*Assumptions!B$12</x:f>
        <x:v>7.998912</x:v>
      </x:c>
      <x:c r="J23" s="20" t="n">
        <x:f>H23*Assumptions!B$12</x:f>
        <x:v>59.393088000000006</x:v>
      </x:c>
      <x:c r="K23" s="17" t="n">
        <x:f>Assumptions!C$5+Assumptions!C$6*$A23</x:f>
        <x:v>82</x:v>
      </x:c>
      <x:c r="L23" s="17" t="n">
        <x:f>Assumptions!C$5*Assumptions!C$28+Assumptions!C$6*(SUM(Assumptions!C$17:C$28)+($A23-12)*Assumptions!C$28)</x:f>
        <x:v>56.28</x:v>
      </x:c>
      <x:c r="M23" s="18" t="n">
        <x:f>L23*Assumptions!C$7+Assumptions!C$13</x:f>
        <x:v>4221</x:v>
      </x:c>
      <x:c r="N23" s="18" t="n">
        <x:f>M23*Assumptions!C$8</x:f>
        <x:v>5276.25</x:v>
      </x:c>
      <x:c r="O23" s="22" t="n">
        <x:f>IF($A23&lt;Assumptions!C$9,0,N23*Assumptions!C$10*Assumptions!C$11/1000)</x:f>
        <x:v>18.9945</x:v>
      </x:c>
      <x:c r="P23" s="22" t="n">
        <x:f>SUM(O$6:O23)</x:f>
        <x:v>140.62275</x:v>
      </x:c>
      <x:c r="Q23" s="20" t="n">
        <x:f>O23*Assumptions!C$12</x:f>
        <x:v>136.7604</x:v>
      </x:c>
      <x:c r="R23" s="20" t="n">
        <x:f>P23*Assumptions!C$12</x:f>
        <x:v>1012.4838</x:v>
      </x:c>
      <x:c r="S23" s="17" t="n">
        <x:f>Assumptions!D$5+Assumptions!D$6*$A23</x:f>
        <x:v>154</x:v>
      </x:c>
      <x:c r="T23" s="17" t="n">
        <x:f>Assumptions!D$5*Assumptions!D$28+Assumptions!D$6*(SUM(Assumptions!D$17:D$28)+($A23-12)*Assumptions!D$28)</x:f>
        <x:v>112.16</x:v>
      </x:c>
      <x:c r="U23" s="18" t="n">
        <x:f>T23*Assumptions!D$7+Assumptions!D$13</x:f>
        <x:v>20188.8</x:v>
      </x:c>
      <x:c r="V23" s="18" t="n">
        <x:f>U23*Assumptions!D$8</x:f>
        <x:v>27254.88</x:v>
      </x:c>
      <x:c r="W23" s="22" t="n">
        <x:f>IF($A23&lt;Assumptions!D$9,0,V23*Assumptions!D$10*Assumptions!D$11/1000)</x:f>
        <x:v>207.13708799999998</x:v>
      </x:c>
      <x:c r="X23" s="22" t="n">
        <x:f>SUM(W$6:W23)</x:f>
        <x:v>1566.4926959999998</x:v>
      </x:c>
      <x:c r="Y23" s="20" t="n">
        <x:f>W23*Assumptions!D$12</x:f>
        <x:v>1491.3870335999998</x:v>
      </x:c>
      <x:c r="Z23" s="20" t="n">
        <x:f>X23*Assumptions!D$12</x:f>
        <x:v>11278.747411199998</x:v>
      </x:c>
    </x:row>
    <x:row r="24">
      <x:c r="A24" s="17" t="n">
        <x:v>19</x:v>
      </x:c>
      <x:c r="B24" s="17" t="str">
        <x:v>M19</x:v>
      </x:c>
      <x:c r="C24" s="17" t="n">
        <x:f>Assumptions!B$5+Assumptions!B$6*$A24</x:f>
        <x:v>48</x:v>
      </x:c>
      <x:c r="D24" s="17" t="n">
        <x:f>Assumptions!B$5*Assumptions!B$28+Assumptions!B$6*(SUM(Assumptions!B$17:B$28)+($A24-12)*Assumptions!B$28)</x:f>
        <x:v>32.86</x:v>
      </x:c>
      <x:c r="E24" s="18" t="n">
        <x:f>D24*Assumptions!B$7+Assumptions!B$13</x:f>
        <x:v>821.5</x:v>
      </x:c>
      <x:c r="F24" s="18" t="n">
        <x:f>E24*Assumptions!B$8</x:f>
        <x:v>985.8</x:v>
      </x:c>
      <x:c r="G24" s="22" t="n">
        <x:f>IF($A24&lt;Assumptions!B$9,0,F24*Assumptions!B$10*Assumptions!B$11/1000)</x:f>
        <x:v>1.18296</x:v>
      </x:c>
      <x:c r="H24" s="22" t="n">
        <x:f>SUM(G$6:G24)</x:f>
        <x:v>9.432</x:v>
      </x:c>
      <x:c r="I24" s="20" t="n">
        <x:f>G24*Assumptions!B$12</x:f>
        <x:v>8.517312</x:v>
      </x:c>
      <x:c r="J24" s="20" t="n">
        <x:f>H24*Assumptions!B$12</x:f>
        <x:v>67.91040000000001</x:v>
      </x:c>
      <x:c r="K24" s="17" t="n">
        <x:f>Assumptions!C$5+Assumptions!C$6*$A24</x:f>
        <x:v>86</x:v>
      </x:c>
      <x:c r="L24" s="17" t="n">
        <x:f>Assumptions!C$5*Assumptions!C$28+Assumptions!C$6*(SUM(Assumptions!C$17:C$28)+($A24-12)*Assumptions!C$28)</x:f>
        <x:v>60.28</x:v>
      </x:c>
      <x:c r="M24" s="18" t="n">
        <x:f>L24*Assumptions!C$7+Assumptions!C$13</x:f>
        <x:v>4521</x:v>
      </x:c>
      <x:c r="N24" s="18" t="n">
        <x:f>M24*Assumptions!C$8</x:f>
        <x:v>5651.25</x:v>
      </x:c>
      <x:c r="O24" s="22" t="n">
        <x:f>IF($A24&lt;Assumptions!C$9,0,N24*Assumptions!C$10*Assumptions!C$11/1000)</x:f>
        <x:v>20.3445</x:v>
      </x:c>
      <x:c r="P24" s="22" t="n">
        <x:f>SUM(O$6:O24)</x:f>
        <x:v>160.96725</x:v>
      </x:c>
      <x:c r="Q24" s="20" t="n">
        <x:f>O24*Assumptions!C$12</x:f>
        <x:v>146.4804</x:v>
      </x:c>
      <x:c r="R24" s="20" t="n">
        <x:f>P24*Assumptions!C$12</x:f>
        <x:v>1158.9642000000001</x:v>
      </x:c>
      <x:c r="S24" s="17" t="n">
        <x:f>Assumptions!D$5+Assumptions!D$6*$A24</x:f>
        <x:v>162</x:v>
      </x:c>
      <x:c r="T24" s="17" t="n">
        <x:f>Assumptions!D$5*Assumptions!D$28+Assumptions!D$6*(SUM(Assumptions!D$17:D$28)+($A24-12)*Assumptions!D$28)</x:f>
        <x:v>120.16</x:v>
      </x:c>
      <x:c r="U24" s="18" t="n">
        <x:f>T24*Assumptions!D$7+Assumptions!D$13</x:f>
        <x:v>21628.8</x:v>
      </x:c>
      <x:c r="V24" s="18" t="n">
        <x:f>U24*Assumptions!D$8</x:f>
        <x:v>29198.88</x:v>
      </x:c>
      <x:c r="W24" s="22" t="n">
        <x:f>IF($A24&lt;Assumptions!D$9,0,V24*Assumptions!D$10*Assumptions!D$11/1000)</x:f>
        <x:v>221.911488</x:v>
      </x:c>
      <x:c r="X24" s="22" t="n">
        <x:f>SUM(W$6:W24)</x:f>
        <x:v>1788.4041839999998</x:v>
      </x:c>
      <x:c r="Y24" s="20" t="n">
        <x:f>W24*Assumptions!D$12</x:f>
        <x:v>1597.7627135999999</x:v>
      </x:c>
      <x:c r="Z24" s="20" t="n">
        <x:f>X24*Assumptions!D$12</x:f>
        <x:v>12876.5101248</x:v>
      </x:c>
    </x:row>
    <x:row r="25">
      <x:c r="A25" s="17" t="n">
        <x:v>20</x:v>
      </x:c>
      <x:c r="B25" s="17" t="str">
        <x:v>M20</x:v>
      </x:c>
      <x:c r="C25" s="17" t="n">
        <x:f>Assumptions!B$5+Assumptions!B$6*$A25</x:f>
        <x:v>50</x:v>
      </x:c>
      <x:c r="D25" s="17" t="n">
        <x:f>Assumptions!B$5*Assumptions!B$28+Assumptions!B$6*(SUM(Assumptions!B$17:B$28)+($A25-12)*Assumptions!B$28)</x:f>
        <x:v>34.86</x:v>
      </x:c>
      <x:c r="E25" s="18" t="n">
        <x:f>D25*Assumptions!B$7+Assumptions!B$13</x:f>
        <x:v>871.5</x:v>
      </x:c>
      <x:c r="F25" s="18" t="n">
        <x:f>E25*Assumptions!B$8</x:f>
        <x:v>1045.8</x:v>
      </x:c>
      <x:c r="G25" s="22" t="n">
        <x:f>IF($A25&lt;Assumptions!B$9,0,F25*Assumptions!B$10*Assumptions!B$11/1000)</x:f>
        <x:v>1.25496</x:v>
      </x:c>
      <x:c r="H25" s="22" t="n">
        <x:f>SUM(G$6:G25)</x:f>
        <x:v>10.686960000000001</x:v>
      </x:c>
      <x:c r="I25" s="20" t="n">
        <x:f>G25*Assumptions!B$12</x:f>
        <x:v>9.035712</x:v>
      </x:c>
      <x:c r="J25" s="20" t="n">
        <x:f>H25*Assumptions!B$12</x:f>
        <x:v>76.94611200000001</x:v>
      </x:c>
      <x:c r="K25" s="17" t="n">
        <x:f>Assumptions!C$5+Assumptions!C$6*$A25</x:f>
        <x:v>90</x:v>
      </x:c>
      <x:c r="L25" s="17" t="n">
        <x:f>Assumptions!C$5*Assumptions!C$28+Assumptions!C$6*(SUM(Assumptions!C$17:C$28)+($A25-12)*Assumptions!C$28)</x:f>
        <x:v>64.28</x:v>
      </x:c>
      <x:c r="M25" s="18" t="n">
        <x:f>L25*Assumptions!C$7+Assumptions!C$13</x:f>
        <x:v>4821</x:v>
      </x:c>
      <x:c r="N25" s="18" t="n">
        <x:f>M25*Assumptions!C$8</x:f>
        <x:v>6026.25</x:v>
      </x:c>
      <x:c r="O25" s="22" t="n">
        <x:f>IF($A25&lt;Assumptions!C$9,0,N25*Assumptions!C$10*Assumptions!C$11/1000)</x:f>
        <x:v>21.6945</x:v>
      </x:c>
      <x:c r="P25" s="22" t="n">
        <x:f>SUM(O$6:O25)</x:f>
        <x:v>182.66175</x:v>
      </x:c>
      <x:c r="Q25" s="20" t="n">
        <x:f>O25*Assumptions!C$12</x:f>
        <x:v>156.2004</x:v>
      </x:c>
      <x:c r="R25" s="20" t="n">
        <x:f>P25*Assumptions!C$12</x:f>
        <x:v>1315.1646</x:v>
      </x:c>
      <x:c r="S25" s="17" t="n">
        <x:f>Assumptions!D$5+Assumptions!D$6*$A25</x:f>
        <x:v>170</x:v>
      </x:c>
      <x:c r="T25" s="17" t="n">
        <x:f>Assumptions!D$5*Assumptions!D$28+Assumptions!D$6*(SUM(Assumptions!D$17:D$28)+($A25-12)*Assumptions!D$28)</x:f>
        <x:v>128.16</x:v>
      </x:c>
      <x:c r="U25" s="18" t="n">
        <x:f>T25*Assumptions!D$7+Assumptions!D$13</x:f>
        <x:v>23068.8</x:v>
      </x:c>
      <x:c r="V25" s="18" t="n">
        <x:f>U25*Assumptions!D$8</x:f>
        <x:v>31142.88</x:v>
      </x:c>
      <x:c r="W25" s="22" t="n">
        <x:f>IF($A25&lt;Assumptions!D$9,0,V25*Assumptions!D$10*Assumptions!D$11/1000)</x:f>
        <x:v>236.685888</x:v>
      </x:c>
      <x:c r="X25" s="22" t="n">
        <x:f>SUM(W$6:W25)</x:f>
        <x:v>2025.0900719999997</x:v>
      </x:c>
      <x:c r="Y25" s="20" t="n">
        <x:f>W25*Assumptions!D$12</x:f>
        <x:v>1704.1383936</x:v>
      </x:c>
      <x:c r="Z25" s="20" t="n">
        <x:f>X25*Assumptions!D$12</x:f>
        <x:v>14580.648518399998</x:v>
      </x:c>
    </x:row>
    <x:row r="26">
      <x:c r="A26" s="17" t="n">
        <x:v>21</x:v>
      </x:c>
      <x:c r="B26" s="17" t="str">
        <x:v>M21</x:v>
      </x:c>
      <x:c r="C26" s="17" t="n">
        <x:f>Assumptions!B$5+Assumptions!B$6*$A26</x:f>
        <x:v>52</x:v>
      </x:c>
      <x:c r="D26" s="17" t="n">
        <x:f>Assumptions!B$5*Assumptions!B$28+Assumptions!B$6*(SUM(Assumptions!B$17:B$28)+($A26-12)*Assumptions!B$28)</x:f>
        <x:v>36.86</x:v>
      </x:c>
      <x:c r="E26" s="18" t="n">
        <x:f>D26*Assumptions!B$7+Assumptions!B$13</x:f>
        <x:v>921.5</x:v>
      </x:c>
      <x:c r="F26" s="18" t="n">
        <x:f>E26*Assumptions!B$8</x:f>
        <x:v>1105.8</x:v>
      </x:c>
      <x:c r="G26" s="22" t="n">
        <x:f>IF($A26&lt;Assumptions!B$9,0,F26*Assumptions!B$10*Assumptions!B$11/1000)</x:f>
        <x:v>1.3269600000000001</x:v>
      </x:c>
      <x:c r="H26" s="22" t="n">
        <x:f>SUM(G$6:G26)</x:f>
        <x:v>12.01392</x:v>
      </x:c>
      <x:c r="I26" s="20" t="n">
        <x:f>G26*Assumptions!B$12</x:f>
        <x:v>9.554112000000002</x:v>
      </x:c>
      <x:c r="J26" s="20" t="n">
        <x:f>H26*Assumptions!B$12</x:f>
        <x:v>86.500224</x:v>
      </x:c>
      <x:c r="K26" s="17" t="n">
        <x:f>Assumptions!C$5+Assumptions!C$6*$A26</x:f>
        <x:v>94</x:v>
      </x:c>
      <x:c r="L26" s="17" t="n">
        <x:f>Assumptions!C$5*Assumptions!C$28+Assumptions!C$6*(SUM(Assumptions!C$17:C$28)+($A26-12)*Assumptions!C$28)</x:f>
        <x:v>68.28</x:v>
      </x:c>
      <x:c r="M26" s="18" t="n">
        <x:f>L26*Assumptions!C$7+Assumptions!C$13</x:f>
        <x:v>5121</x:v>
      </x:c>
      <x:c r="N26" s="18" t="n">
        <x:f>M26*Assumptions!C$8</x:f>
        <x:v>6401.25</x:v>
      </x:c>
      <x:c r="O26" s="22" t="n">
        <x:f>IF($A26&lt;Assumptions!C$9,0,N26*Assumptions!C$10*Assumptions!C$11/1000)</x:f>
        <x:v>23.0445</x:v>
      </x:c>
      <x:c r="P26" s="22" t="n">
        <x:f>SUM(O$6:O26)</x:f>
        <x:v>205.70625</x:v>
      </x:c>
      <x:c r="Q26" s="20" t="n">
        <x:f>O26*Assumptions!C$12</x:f>
        <x:v>165.9204</x:v>
      </x:c>
      <x:c r="R26" s="20" t="n">
        <x:f>P26*Assumptions!C$12</x:f>
        <x:v>1481.085</x:v>
      </x:c>
      <x:c r="S26" s="17" t="n">
        <x:f>Assumptions!D$5+Assumptions!D$6*$A26</x:f>
        <x:v>178</x:v>
      </x:c>
      <x:c r="T26" s="17" t="n">
        <x:f>Assumptions!D$5*Assumptions!D$28+Assumptions!D$6*(SUM(Assumptions!D$17:D$28)+($A26-12)*Assumptions!D$28)</x:f>
        <x:v>136.16</x:v>
      </x:c>
      <x:c r="U26" s="18" t="n">
        <x:f>T26*Assumptions!D$7+Assumptions!D$13</x:f>
        <x:v>24508.8</x:v>
      </x:c>
      <x:c r="V26" s="18" t="n">
        <x:f>U26*Assumptions!D$8</x:f>
        <x:v>33086.880000000005</x:v>
      </x:c>
      <x:c r="W26" s="22" t="n">
        <x:f>IF($A26&lt;Assumptions!D$9,0,V26*Assumptions!D$10*Assumptions!D$11/1000)</x:f>
        <x:v>251.46028800000002</x:v>
      </x:c>
      <x:c r="X26" s="22" t="n">
        <x:f>SUM(W$6:W26)</x:f>
        <x:v>2276.5503599999997</x:v>
      </x:c>
      <x:c r="Y26" s="20" t="n">
        <x:f>W26*Assumptions!D$12</x:f>
        <x:v>1810.5140736</x:v>
      </x:c>
      <x:c r="Z26" s="20" t="n">
        <x:f>X26*Assumptions!D$12</x:f>
        <x:v>16391.162591999997</x:v>
      </x:c>
    </x:row>
    <x:row r="27">
      <x:c r="A27" s="17" t="n">
        <x:v>22</x:v>
      </x:c>
      <x:c r="B27" s="17" t="str">
        <x:v>M22</x:v>
      </x:c>
      <x:c r="C27" s="17" t="n">
        <x:f>Assumptions!B$5+Assumptions!B$6*$A27</x:f>
        <x:v>54</x:v>
      </x:c>
      <x:c r="D27" s="17" t="n">
        <x:f>Assumptions!B$5*Assumptions!B$28+Assumptions!B$6*(SUM(Assumptions!B$17:B$28)+($A27-12)*Assumptions!B$28)</x:f>
        <x:v>38.86</x:v>
      </x:c>
      <x:c r="E27" s="18" t="n">
        <x:f>D27*Assumptions!B$7+Assumptions!B$13</x:f>
        <x:v>971.5</x:v>
      </x:c>
      <x:c r="F27" s="18" t="n">
        <x:f>E27*Assumptions!B$8</x:f>
        <x:v>1165.8</x:v>
      </x:c>
      <x:c r="G27" s="22" t="n">
        <x:f>IF($A27&lt;Assumptions!B$9,0,F27*Assumptions!B$10*Assumptions!B$11/1000)</x:f>
        <x:v>1.39896</x:v>
      </x:c>
      <x:c r="H27" s="22" t="n">
        <x:f>SUM(G$6:G27)</x:f>
        <x:v>13.412880000000001</x:v>
      </x:c>
      <x:c r="I27" s="20" t="n">
        <x:f>G27*Assumptions!B$12</x:f>
        <x:v>10.072512</x:v>
      </x:c>
      <x:c r="J27" s="20" t="n">
        <x:f>H27*Assumptions!B$12</x:f>
        <x:v>96.572736</x:v>
      </x:c>
      <x:c r="K27" s="17" t="n">
        <x:f>Assumptions!C$5+Assumptions!C$6*$A27</x:f>
        <x:v>98</x:v>
      </x:c>
      <x:c r="L27" s="17" t="n">
        <x:f>Assumptions!C$5*Assumptions!C$28+Assumptions!C$6*(SUM(Assumptions!C$17:C$28)+($A27-12)*Assumptions!C$28)</x:f>
        <x:v>72.28</x:v>
      </x:c>
      <x:c r="M27" s="18" t="n">
        <x:f>L27*Assumptions!C$7+Assumptions!C$13</x:f>
        <x:v>5421</x:v>
      </x:c>
      <x:c r="N27" s="18" t="n">
        <x:f>M27*Assumptions!C$8</x:f>
        <x:v>6776.25</x:v>
      </x:c>
      <x:c r="O27" s="22" t="n">
        <x:f>IF($A27&lt;Assumptions!C$9,0,N27*Assumptions!C$10*Assumptions!C$11/1000)</x:f>
        <x:v>24.3945</x:v>
      </x:c>
      <x:c r="P27" s="22" t="n">
        <x:f>SUM(O$6:O27)</x:f>
        <x:v>230.10075</x:v>
      </x:c>
      <x:c r="Q27" s="20" t="n">
        <x:f>O27*Assumptions!C$12</x:f>
        <x:v>175.6404</x:v>
      </x:c>
      <x:c r="R27" s="20" t="n">
        <x:f>P27*Assumptions!C$12</x:f>
        <x:v>1656.7254</x:v>
      </x:c>
      <x:c r="S27" s="17" t="n">
        <x:f>Assumptions!D$5+Assumptions!D$6*$A27</x:f>
        <x:v>186</x:v>
      </x:c>
      <x:c r="T27" s="17" t="n">
        <x:f>Assumptions!D$5*Assumptions!D$28+Assumptions!D$6*(SUM(Assumptions!D$17:D$28)+($A27-12)*Assumptions!D$28)</x:f>
        <x:v>144.16</x:v>
      </x:c>
      <x:c r="U27" s="18" t="n">
        <x:f>T27*Assumptions!D$7+Assumptions!D$13</x:f>
        <x:v>25948.8</x:v>
      </x:c>
      <x:c r="V27" s="18" t="n">
        <x:f>U27*Assumptions!D$8</x:f>
        <x:v>35030.880000000005</x:v>
      </x:c>
      <x:c r="W27" s="22" t="n">
        <x:f>IF($A27&lt;Assumptions!D$9,0,V27*Assumptions!D$10*Assumptions!D$11/1000)</x:f>
        <x:v>266.234688</x:v>
      </x:c>
      <x:c r="X27" s="22" t="n">
        <x:f>SUM(W$6:W27)</x:f>
        <x:v>2542.7850479999997</x:v>
      </x:c>
      <x:c r="Y27" s="20" t="n">
        <x:f>W27*Assumptions!D$12</x:f>
        <x:v>1916.8897536000002</x:v>
      </x:c>
      <x:c r="Z27" s="20" t="n">
        <x:f>X27*Assumptions!D$12</x:f>
        <x:v>18308.052345599997</x:v>
      </x:c>
    </x:row>
    <x:row r="28">
      <x:c r="A28" s="17" t="n">
        <x:v>23</x:v>
      </x:c>
      <x:c r="B28" s="17" t="str">
        <x:v>M23</x:v>
      </x:c>
      <x:c r="C28" s="17" t="n">
        <x:f>Assumptions!B$5+Assumptions!B$6*$A28</x:f>
        <x:v>56</x:v>
      </x:c>
      <x:c r="D28" s="17" t="n">
        <x:f>Assumptions!B$5*Assumptions!B$28+Assumptions!B$6*(SUM(Assumptions!B$17:B$28)+($A28-12)*Assumptions!B$28)</x:f>
        <x:v>40.86</x:v>
      </x:c>
      <x:c r="E28" s="18" t="n">
        <x:f>D28*Assumptions!B$7+Assumptions!B$13</x:f>
        <x:v>1021.5</x:v>
      </x:c>
      <x:c r="F28" s="18" t="n">
        <x:f>E28*Assumptions!B$8</x:f>
        <x:v>1225.8</x:v>
      </x:c>
      <x:c r="G28" s="22" t="n">
        <x:f>IF($A28&lt;Assumptions!B$9,0,F28*Assumptions!B$10*Assumptions!B$11/1000)</x:f>
        <x:v>1.47096</x:v>
      </x:c>
      <x:c r="H28" s="22" t="n">
        <x:f>SUM(G$6:G28)</x:f>
        <x:v>14.883840000000001</x:v>
      </x:c>
      <x:c r="I28" s="20" t="n">
        <x:f>G28*Assumptions!B$12</x:f>
        <x:v>10.590912000000001</x:v>
      </x:c>
      <x:c r="J28" s="20" t="n">
        <x:f>H28*Assumptions!B$12</x:f>
        <x:v>107.16364800000001</x:v>
      </x:c>
      <x:c r="K28" s="17" t="n">
        <x:f>Assumptions!C$5+Assumptions!C$6*$A28</x:f>
        <x:v>102</x:v>
      </x:c>
      <x:c r="L28" s="17" t="n">
        <x:f>Assumptions!C$5*Assumptions!C$28+Assumptions!C$6*(SUM(Assumptions!C$17:C$28)+($A28-12)*Assumptions!C$28)</x:f>
        <x:v>76.28</x:v>
      </x:c>
      <x:c r="M28" s="18" t="n">
        <x:f>L28*Assumptions!C$7+Assumptions!C$13</x:f>
        <x:v>5721</x:v>
      </x:c>
      <x:c r="N28" s="18" t="n">
        <x:f>M28*Assumptions!C$8</x:f>
        <x:v>7151.25</x:v>
      </x:c>
      <x:c r="O28" s="22" t="n">
        <x:f>IF($A28&lt;Assumptions!C$9,0,N28*Assumptions!C$10*Assumptions!C$11/1000)</x:f>
        <x:v>25.7445</x:v>
      </x:c>
      <x:c r="P28" s="22" t="n">
        <x:f>SUM(O$6:O28)</x:f>
        <x:v>255.84525</x:v>
      </x:c>
      <x:c r="Q28" s="20" t="n">
        <x:f>O28*Assumptions!C$12</x:f>
        <x:v>185.3604</x:v>
      </x:c>
      <x:c r="R28" s="20" t="n">
        <x:f>P28*Assumptions!C$12</x:f>
        <x:v>1842.0858</x:v>
      </x:c>
      <x:c r="S28" s="17" t="n">
        <x:f>Assumptions!D$5+Assumptions!D$6*$A28</x:f>
        <x:v>194</x:v>
      </x:c>
      <x:c r="T28" s="17" t="n">
        <x:f>Assumptions!D$5*Assumptions!D$28+Assumptions!D$6*(SUM(Assumptions!D$17:D$28)+($A28-12)*Assumptions!D$28)</x:f>
        <x:v>152.16</x:v>
      </x:c>
      <x:c r="U28" s="18" t="n">
        <x:f>T28*Assumptions!D$7+Assumptions!D$13</x:f>
        <x:v>27388.8</x:v>
      </x:c>
      <x:c r="V28" s="18" t="n">
        <x:f>U28*Assumptions!D$8</x:f>
        <x:v>36974.880000000005</x:v>
      </x:c>
      <x:c r="W28" s="22" t="n">
        <x:f>IF($A28&lt;Assumptions!D$9,0,V28*Assumptions!D$10*Assumptions!D$11/1000)</x:f>
        <x:v>281.009088</x:v>
      </x:c>
      <x:c r="X28" s="22" t="n">
        <x:f>SUM(W$6:W28)</x:f>
        <x:v>2823.7941359999995</x:v>
      </x:c>
      <x:c r="Y28" s="20" t="n">
        <x:f>W28*Assumptions!D$12</x:f>
        <x:v>2023.2654336000003</x:v>
      </x:c>
      <x:c r="Z28" s="20" t="n">
        <x:f>X28*Assumptions!D$12</x:f>
        <x:v>20331.3177792</x:v>
      </x:c>
    </x:row>
    <x:row r="29">
      <x:c r="A29" s="17" t="n">
        <x:v>24</x:v>
      </x:c>
      <x:c r="B29" s="17" t="str">
        <x:v>M24</x:v>
      </x:c>
      <x:c r="C29" s="17" t="n">
        <x:f>Assumptions!B$5+Assumptions!B$6*$A29</x:f>
        <x:v>58</x:v>
      </x:c>
      <x:c r="D29" s="17" t="n">
        <x:f>Assumptions!B$5*Assumptions!B$28+Assumptions!B$6*(SUM(Assumptions!B$17:B$28)+($A29-12)*Assumptions!B$28)</x:f>
        <x:v>42.86</x:v>
      </x:c>
      <x:c r="E29" s="18" t="n">
        <x:f>D29*Assumptions!B$7+Assumptions!B$13</x:f>
        <x:v>1071.5</x:v>
      </x:c>
      <x:c r="F29" s="18" t="n">
        <x:f>E29*Assumptions!B$8</x:f>
        <x:v>1285.8</x:v>
      </x:c>
      <x:c r="G29" s="22" t="n">
        <x:f>IF($A29&lt;Assumptions!B$9,0,F29*Assumptions!B$10*Assumptions!B$11/1000)</x:f>
        <x:v>1.54296</x:v>
      </x:c>
      <x:c r="H29" s="22" t="n">
        <x:f>SUM(G$6:G29)</x:f>
        <x:v>16.4268</x:v>
      </x:c>
      <x:c r="I29" s="20" t="n">
        <x:f>G29*Assumptions!B$12</x:f>
        <x:v>11.109312000000001</x:v>
      </x:c>
      <x:c r="J29" s="20" t="n">
        <x:f>H29*Assumptions!B$12</x:f>
        <x:v>118.27296</x:v>
      </x:c>
      <x:c r="K29" s="17" t="n">
        <x:f>Assumptions!C$5+Assumptions!C$6*$A29</x:f>
        <x:v>106</x:v>
      </x:c>
      <x:c r="L29" s="17" t="n">
        <x:f>Assumptions!C$5*Assumptions!C$28+Assumptions!C$6*(SUM(Assumptions!C$17:C$28)+($A29-12)*Assumptions!C$28)</x:f>
        <x:v>80.28</x:v>
      </x:c>
      <x:c r="M29" s="18" t="n">
        <x:f>L29*Assumptions!C$7+Assumptions!C$13</x:f>
        <x:v>6021</x:v>
      </x:c>
      <x:c r="N29" s="18" t="n">
        <x:f>M29*Assumptions!C$8</x:f>
        <x:v>7526.25</x:v>
      </x:c>
      <x:c r="O29" s="22" t="n">
        <x:f>IF($A29&lt;Assumptions!C$9,0,N29*Assumptions!C$10*Assumptions!C$11/1000)</x:f>
        <x:v>27.0945</x:v>
      </x:c>
      <x:c r="P29" s="22" t="n">
        <x:f>SUM(O$6:O29)</x:f>
        <x:v>282.93975</x:v>
      </x:c>
      <x:c r="Q29" s="20" t="n">
        <x:f>O29*Assumptions!C$12</x:f>
        <x:v>195.0804</x:v>
      </x:c>
      <x:c r="R29" s="20" t="n">
        <x:f>P29*Assumptions!C$12</x:f>
        <x:v>2037.1662000000001</x:v>
      </x:c>
      <x:c r="S29" s="17" t="n">
        <x:f>Assumptions!D$5+Assumptions!D$6*$A29</x:f>
        <x:v>202</x:v>
      </x:c>
      <x:c r="T29" s="17" t="n">
        <x:f>Assumptions!D$5*Assumptions!D$28+Assumptions!D$6*(SUM(Assumptions!D$17:D$28)+($A29-12)*Assumptions!D$28)</x:f>
        <x:v>160.16</x:v>
      </x:c>
      <x:c r="U29" s="18" t="n">
        <x:f>T29*Assumptions!D$7+Assumptions!D$13</x:f>
        <x:v>28828.8</x:v>
      </x:c>
      <x:c r="V29" s="18" t="n">
        <x:f>U29*Assumptions!D$8</x:f>
        <x:v>38918.880000000005</x:v>
      </x:c>
      <x:c r="W29" s="22" t="n">
        <x:f>IF($A29&lt;Assumptions!D$9,0,V29*Assumptions!D$10*Assumptions!D$11/1000)</x:f>
        <x:v>295.78348800000003</x:v>
      </x:c>
      <x:c r="X29" s="22" t="n">
        <x:f>SUM(W$6:W29)</x:f>
        <x:v>3119.5776239999996</x:v>
      </x:c>
      <x:c r="Y29" s="20" t="n">
        <x:f>W29*Assumptions!D$12</x:f>
        <x:v>2129.6411136</x:v>
      </x:c>
      <x:c r="Z29" s="20" t="n">
        <x:f>X29*Assumptions!D$12</x:f>
        <x:v>22460.958892799998</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73.37000274658203" hidden="0" customWidth="1"/>
    <x:col min="2" max="2" width="6.010000228881836" hidden="0" customWidth="1"/>
    <x:col min="3" max="3" width="6.010000228881836" hidden="0" customWidth="1"/>
    <x:col min="4" max="4" width="6.010000228881836" hidden="0" customWidth="1"/>
    <x:col min="5" max="5" width="6.010000228881836" hidden="0" customWidth="1"/>
    <x:col min="6" max="6" width="6.869999885559082" hidden="0" customWidth="1"/>
    <x:col min="7" max="7" width="6.869999885559082" hidden="0" customWidth="1"/>
    <x:col min="9" max="9" width="17.790000915527344" hidden="0" customWidth="1"/>
    <x:col min="10" max="10" width="14.970000267028809" hidden="0" customWidth="1"/>
    <x:col min="11" max="11" width="19.6299991607666" hidden="0" customWidth="1"/>
  </x:cols>
  <x:sheetData>
    <x:row r="1">
      <x:c r="A1" s="68" t="str">
        <x:v>AdSense Sensitivity</x:v>
      </x:c>
      <x:c r="B1" s="69"/>
      <x:c r="C1" s="69"/>
      <x:c r="D1" s="69"/>
      <x:c r="E1" s="69"/>
      <x:c r="F1" s="69"/>
      <x:c r="G1" s="69"/>
      <x:c r="H1" s="69"/>
      <x:c r="I1" s="69"/>
      <x:c r="J1" s="69"/>
      <x:c r="K1" s="69"/>
      <x:c r="L1" s="69"/>
      <x:c r="M1" s="69"/>
      <x:c r="N1" s="69"/>
      <x:c r="O1" s="69"/>
      <x:c r="P1" s="69"/>
      <x:c r="Q1" s="69"/>
      <x:c r="R1" s="69"/>
      <x:c r="S1" s="69"/>
      <x:c r="T1" s="69"/>
      <x:c r="U1" s="69"/>
      <x:c r="V1" s="69"/>
      <x:c r="W1" s="69"/>
      <x:c r="X1" s="69"/>
      <x:c r="Y1" s="69"/>
      <x:c r="Z1" s="69"/>
    </x:row>
    <x:row r="2">
      <x:c r="A2" s="7" t="str">
        <x:v>Quick monthly revenue lookup. Formula: visits × pageviews/visit × ad coverage × page RPM / 1,000.</x:v>
      </x:c>
    </x:row>
    <x:row r="4">
      <x:c r="A4" s="12" t="str">
        <x:v>Monthly Google visits</x:v>
      </x:c>
      <x:c r="B4" s="12" t="str">
        <x:v>$1 RPM</x:v>
      </x:c>
      <x:c r="C4" s="12" t="str">
        <x:v>$2 RPM</x:v>
      </x:c>
      <x:c r="D4" s="12" t="str">
        <x:v>$4 RPM</x:v>
      </x:c>
      <x:c r="E4" s="12" t="str">
        <x:v>$8 RPM</x:v>
      </x:c>
      <x:c r="F4" s="12" t="str">
        <x:v>$12 RPM</x:v>
      </x:c>
      <x:c r="G4" s="12" t="str">
        <x:v>$20 RPM</x:v>
      </x:c>
      <x:c r="I4" s="12" t="str">
        <x:v>Rule of thumb</x:v>
      </x:c>
      <x:c r="J4" s="12" t="str">
        <x:v>Monthly pageviews</x:v>
      </x:c>
      <x:c r="K4" s="12" t="str">
        <x:v>Revenue at $4 Page RPM</x:v>
      </x:c>
    </x:row>
    <x:row r="5">
      <x:c r="A5" s="18" t="n">
        <x:v>1000</x:v>
      </x:c>
      <x:c r="B5" s="19" t="n">
        <x:f>$A5*Assumptions!$C$8*Assumptions!$C$10*1/1000</x:f>
        <x:v>1.125</x:v>
      </x:c>
      <x:c r="C5" s="19" t="n">
        <x:f>$A5*Assumptions!$C$8*Assumptions!$C$10*2/1000</x:f>
        <x:v>2.25</x:v>
      </x:c>
      <x:c r="D5" s="19" t="n">
        <x:f>$A5*Assumptions!$C$8*Assumptions!$C$10*4/1000</x:f>
        <x:v>4.5</x:v>
      </x:c>
      <x:c r="E5" s="19" t="n">
        <x:f>$A5*Assumptions!$C$8*Assumptions!$C$10*8/1000</x:f>
        <x:v>9</x:v>
      </x:c>
      <x:c r="F5" s="19" t="n">
        <x:f>$A5*Assumptions!$C$8*Assumptions!$C$10*12/1000</x:f>
        <x:v>13.5</x:v>
      </x:c>
      <x:c r="G5" s="19" t="n">
        <x:f>$A5*Assumptions!$C$8*Assumptions!$C$10*20/1000</x:f>
        <x:v>22.5</x:v>
      </x:c>
      <x:c r="I5" s="17" t="str">
        <x:v>Tiny signal</x:v>
      </x:c>
      <x:c r="J5" s="18" t="n">
        <x:v>1000</x:v>
      </x:c>
      <x:c r="K5" s="19" t="n">
        <x:v>4</x:v>
      </x:c>
    </x:row>
    <x:row r="6">
      <x:c r="A6" s="18" t="n">
        <x:v>2500</x:v>
      </x:c>
      <x:c r="B6" s="19" t="n">
        <x:f>$A6*Assumptions!$C$8*Assumptions!$C$10*1/1000</x:f>
        <x:v>2.8125</x:v>
      </x:c>
      <x:c r="C6" s="19" t="n">
        <x:f>$A6*Assumptions!$C$8*Assumptions!$C$10*2/1000</x:f>
        <x:v>5.625</x:v>
      </x:c>
      <x:c r="D6" s="19" t="n">
        <x:f>$A6*Assumptions!$C$8*Assumptions!$C$10*4/1000</x:f>
        <x:v>11.25</x:v>
      </x:c>
      <x:c r="E6" s="19" t="n">
        <x:f>$A6*Assumptions!$C$8*Assumptions!$C$10*8/1000</x:f>
        <x:v>22.5</x:v>
      </x:c>
      <x:c r="F6" s="19" t="n">
        <x:f>$A6*Assumptions!$C$8*Assumptions!$C$10*12/1000</x:f>
        <x:v>33.75</x:v>
      </x:c>
      <x:c r="G6" s="19" t="n">
        <x:f>$A6*Assumptions!$C$8*Assumptions!$C$10*20/1000</x:f>
        <x:v>56.25</x:v>
      </x:c>
      <x:c r="I6" s="17" t="str">
        <x:v>First meaningful</x:v>
      </x:c>
      <x:c r="J6" s="18" t="n">
        <x:v>10000</x:v>
      </x:c>
      <x:c r="K6" s="19" t="n">
        <x:v>40</x:v>
      </x:c>
    </x:row>
    <x:row r="7">
      <x:c r="A7" s="18" t="n">
        <x:v>5000</x:v>
      </x:c>
      <x:c r="B7" s="19" t="n">
        <x:f>$A7*Assumptions!$C$8*Assumptions!$C$10*1/1000</x:f>
        <x:v>5.625</x:v>
      </x:c>
      <x:c r="C7" s="19" t="n">
        <x:f>$A7*Assumptions!$C$8*Assumptions!$C$10*2/1000</x:f>
        <x:v>11.25</x:v>
      </x:c>
      <x:c r="D7" s="19" t="n">
        <x:f>$A7*Assumptions!$C$8*Assumptions!$C$10*4/1000</x:f>
        <x:v>22.5</x:v>
      </x:c>
      <x:c r="E7" s="19" t="n">
        <x:f>$A7*Assumptions!$C$8*Assumptions!$C$10*8/1000</x:f>
        <x:v>45</x:v>
      </x:c>
      <x:c r="F7" s="19" t="n">
        <x:f>$A7*Assumptions!$C$8*Assumptions!$C$10*12/1000</x:f>
        <x:v>67.5</x:v>
      </x:c>
      <x:c r="G7" s="19" t="n">
        <x:f>$A7*Assumptions!$C$8*Assumptions!$C$10*20/1000</x:f>
        <x:v>112.5</x:v>
      </x:c>
      <x:c r="I7" s="17" t="str">
        <x:v>Small asset</x:v>
      </x:c>
      <x:c r="J7" s="18" t="n">
        <x:v>50000</x:v>
      </x:c>
      <x:c r="K7" s="19" t="n">
        <x:v>200</x:v>
      </x:c>
    </x:row>
    <x:row r="8">
      <x:c r="A8" s="18" t="n">
        <x:v>10000</x:v>
      </x:c>
      <x:c r="B8" s="19" t="n">
        <x:f>$A8*Assumptions!$C$8*Assumptions!$C$10*1/1000</x:f>
        <x:v>11.25</x:v>
      </x:c>
      <x:c r="C8" s="19" t="n">
        <x:f>$A8*Assumptions!$C$8*Assumptions!$C$10*2/1000</x:f>
        <x:v>22.5</x:v>
      </x:c>
      <x:c r="D8" s="19" t="n">
        <x:f>$A8*Assumptions!$C$8*Assumptions!$C$10*4/1000</x:f>
        <x:v>45</x:v>
      </x:c>
      <x:c r="E8" s="19" t="n">
        <x:f>$A8*Assumptions!$C$8*Assumptions!$C$10*8/1000</x:f>
        <x:v>90</x:v>
      </x:c>
      <x:c r="F8" s="19" t="n">
        <x:f>$A8*Assumptions!$C$8*Assumptions!$C$10*12/1000</x:f>
        <x:v>135</x:v>
      </x:c>
      <x:c r="G8" s="19" t="n">
        <x:f>$A8*Assumptions!$C$8*Assumptions!$C$10*20/1000</x:f>
        <x:v>225</x:v>
      </x:c>
      <x:c r="I8" s="17" t="str">
        <x:v>Portfolio-worthy</x:v>
      </x:c>
      <x:c r="J8" s="18" t="n">
        <x:v>100000</x:v>
      </x:c>
      <x:c r="K8" s="19" t="n">
        <x:v>400</x:v>
      </x:c>
    </x:row>
    <x:row r="9">
      <x:c r="A9" s="18" t="n">
        <x:v>25000</x:v>
      </x:c>
      <x:c r="B9" s="19" t="n">
        <x:f>$A9*Assumptions!$C$8*Assumptions!$C$10*1/1000</x:f>
        <x:v>28.125</x:v>
      </x:c>
      <x:c r="C9" s="19" t="n">
        <x:f>$A9*Assumptions!$C$8*Assumptions!$C$10*2/1000</x:f>
        <x:v>56.25</x:v>
      </x:c>
      <x:c r="D9" s="19" t="n">
        <x:f>$A9*Assumptions!$C$8*Assumptions!$C$10*4/1000</x:f>
        <x:v>112.5</x:v>
      </x:c>
      <x:c r="E9" s="19" t="n">
        <x:f>$A9*Assumptions!$C$8*Assumptions!$C$10*8/1000</x:f>
        <x:v>225</x:v>
      </x:c>
      <x:c r="F9" s="19" t="n">
        <x:f>$A9*Assumptions!$C$8*Assumptions!$C$10*12/1000</x:f>
        <x:v>337.5</x:v>
      </x:c>
      <x:c r="G9" s="19" t="n">
        <x:f>$A9*Assumptions!$C$8*Assumptions!$C$10*20/1000</x:f>
        <x:v>562.5</x:v>
      </x:c>
      <x:c r="I9" s="17" t="str">
        <x:v>Meaningful side income</x:v>
      </x:c>
      <x:c r="J9" s="18" t="n">
        <x:v>250000</x:v>
      </x:c>
      <x:c r="K9" s="19" t="n">
        <x:v>1000</x:v>
      </x:c>
    </x:row>
    <x:row r="10">
      <x:c r="A10" s="18" t="n">
        <x:v>50000</x:v>
      </x:c>
      <x:c r="B10" s="19" t="n">
        <x:f>$A10*Assumptions!$C$8*Assumptions!$C$10*1/1000</x:f>
        <x:v>56.25</x:v>
      </x:c>
      <x:c r="C10" s="19" t="n">
        <x:f>$A10*Assumptions!$C$8*Assumptions!$C$10*2/1000</x:f>
        <x:v>112.5</x:v>
      </x:c>
      <x:c r="D10" s="19" t="n">
        <x:f>$A10*Assumptions!$C$8*Assumptions!$C$10*4/1000</x:f>
        <x:v>225</x:v>
      </x:c>
      <x:c r="E10" s="19" t="n">
        <x:f>$A10*Assumptions!$C$8*Assumptions!$C$10*8/1000</x:f>
        <x:v>450</x:v>
      </x:c>
      <x:c r="F10" s="19" t="n">
        <x:f>$A10*Assumptions!$C$8*Assumptions!$C$10*12/1000</x:f>
        <x:v>675</x:v>
      </x:c>
      <x:c r="G10" s="19" t="n">
        <x:f>$A10*Assumptions!$C$8*Assumptions!$C$10*20/1000</x:f>
        <x:v>1125</x:v>
      </x:c>
      <x:c r="I10" s="17" t="str">
        <x:v>Real business candidate</x:v>
      </x:c>
      <x:c r="J10" s="18" t="n">
        <x:v>1000000</x:v>
      </x:c>
      <x:c r="K10" s="19" t="n">
        <x:v>4000</x:v>
      </x:c>
    </x:row>
    <x:row r="11">
      <x:c r="A11" s="18" t="n">
        <x:v>100000</x:v>
      </x:c>
      <x:c r="B11" s="19" t="n">
        <x:f>$A11*Assumptions!$C$8*Assumptions!$C$10*1/1000</x:f>
        <x:v>112.5</x:v>
      </x:c>
      <x:c r="C11" s="19" t="n">
        <x:f>$A11*Assumptions!$C$8*Assumptions!$C$10*2/1000</x:f>
        <x:v>225</x:v>
      </x:c>
      <x:c r="D11" s="19" t="n">
        <x:f>$A11*Assumptions!$C$8*Assumptions!$C$10*4/1000</x:f>
        <x:v>450</x:v>
      </x:c>
      <x:c r="E11" s="19" t="n">
        <x:f>$A11*Assumptions!$C$8*Assumptions!$C$10*8/1000</x:f>
        <x:v>900</x:v>
      </x:c>
      <x:c r="F11" s="19" t="n">
        <x:f>$A11*Assumptions!$C$8*Assumptions!$C$10*12/1000</x:f>
        <x:v>1350</x:v>
      </x:c>
      <x:c r="G11" s="19" t="n">
        <x:f>$A11*Assumptions!$C$8*Assumptions!$C$10*20/1000</x:f>
        <x:v>2250</x:v>
      </x:c>
    </x:row>
    <x:row r="12">
      <x:c r="A12" s="18" t="n">
        <x:v>250000</x:v>
      </x:c>
      <x:c r="B12" s="19" t="n">
        <x:f>$A12*Assumptions!$C$8*Assumptions!$C$10*1/1000</x:f>
        <x:v>281.25</x:v>
      </x:c>
      <x:c r="C12" s="19" t="n">
        <x:f>$A12*Assumptions!$C$8*Assumptions!$C$10*2/1000</x:f>
        <x:v>562.5</x:v>
      </x:c>
      <x:c r="D12" s="19" t="n">
        <x:f>$A12*Assumptions!$C$8*Assumptions!$C$10*4/1000</x:f>
        <x:v>1125</x:v>
      </x:c>
      <x:c r="E12" s="19" t="n">
        <x:f>$A12*Assumptions!$C$8*Assumptions!$C$10*8/1000</x:f>
        <x:v>2250</x:v>
      </x:c>
      <x:c r="F12" s="19" t="n">
        <x:f>$A12*Assumptions!$C$8*Assumptions!$C$10*12/1000</x:f>
        <x:v>3375</x:v>
      </x:c>
      <x:c r="G12" s="19" t="n">
        <x:f>$A12*Assumptions!$C$8*Assumptions!$C$10*20/1000</x:f>
        <x:v>5625</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8.0999984741211" hidden="0" customWidth="1"/>
    <x:col min="2" max="2" width="21.100000381469727" hidden="0" customWidth="1"/>
    <x:col min="3" max="3" width="64.54000091552734" hidden="0" customWidth="1"/>
    <x:col min="4" max="4" width="59.880001068115234" hidden="0" customWidth="1"/>
  </x:cols>
  <x:sheetData>
    <x:row r="1">
      <x:c r="A1" s="68" t="str">
        <x:v>Sources and Notes</x:v>
      </x:c>
      <x:c r="B1" s="69"/>
      <x:c r="C1" s="69"/>
      <x:c r="D1" s="69"/>
      <x:c r="E1" s="69"/>
      <x:c r="F1" s="69"/>
      <x:c r="G1" s="69"/>
      <x:c r="H1" s="69"/>
      <x:c r="I1" s="69"/>
      <x:c r="J1" s="69"/>
      <x:c r="K1" s="69"/>
      <x:c r="L1" s="69"/>
      <x:c r="M1" s="69"/>
      <x:c r="N1" s="69"/>
      <x:c r="O1" s="69"/>
      <x:c r="P1" s="69"/>
      <x:c r="Q1" s="69"/>
      <x:c r="R1" s="69"/>
      <x:c r="S1" s="69"/>
      <x:c r="T1" s="69"/>
      <x:c r="U1" s="69"/>
      <x:c r="V1" s="69"/>
      <x:c r="W1" s="69"/>
      <x:c r="X1" s="69"/>
      <x:c r="Y1" s="69"/>
      <x:c r="Z1" s="69"/>
    </x:row>
    <x:row r="2">
      <x:c r="A2" s="7" t="str">
        <x:v>Official sources are used for definitions and platform workflow. Scenario values are planning assumptions, not promises.</x:v>
      </x:c>
    </x:row>
    <x:row r="4">
      <x:c r="A4" s="12" t="str">
        <x:v>Topic</x:v>
      </x:c>
      <x:c r="B4" s="12" t="str">
        <x:v>Source</x:v>
      </x:c>
      <x:c r="C4" s="12" t="str">
        <x:v>URL</x:v>
      </x:c>
      <x:c r="D4" s="12" t="str">
        <x:v>Model use</x:v>
      </x:c>
    </x:row>
    <x:row r="5">
      <x:c r="A5" s="17" t="str">
        <x:v>AdSense RPM formula</x:v>
      </x:c>
      <x:c r="B5" s="17" t="str">
        <x:v>Google AdSense Help</x:v>
      </x:c>
      <x:c r="C5" s="17" t="str">
        <x:v>https://support.google.com/adsense/answer/190515</x:v>
      </x:c>
      <x:c r="D5" s="17" t="str">
        <x:v>Revenue = pageviews × page RPM / 1,000.</x:v>
      </x:c>
    </x:row>
    <x:row r="6">
      <x:c r="A6" s="17" t="str">
        <x:v>AdSense revenue share</x:v>
      </x:c>
      <x:c r="B6" s="17" t="str">
        <x:v>Google AdSense Help</x:v>
      </x:c>
      <x:c r="C6" s="17" t="str">
        <x:v>https://support.google.com/adsense/answer/180195</x:v>
      </x:c>
      <x:c r="D6" s="17" t="str">
        <x:v>Confirms AdSense pays publishers on eCPM; does not provide site-specific RPM.</x:v>
      </x:c>
    </x:row>
    <x:row r="7">
      <x:c r="A7" s="17" t="str">
        <x:v>AdSense connect site</x:v>
      </x:c>
      <x:c r="B7" s="17" t="str">
        <x:v>Google AdSense Help</x:v>
      </x:c>
      <x:c r="C7" s="17" t="str">
        <x:v>https://support.google.com/adsense/answer/7584263</x:v>
      </x:c>
      <x:c r="D7" s="17" t="str">
        <x:v>Used for review workflow assumptions.</x:v>
      </x:c>
    </x:row>
    <x:row r="8">
      <x:c r="A8" s="17" t="str">
        <x:v>Search Console page indexing</x:v>
      </x:c>
      <x:c r="B8" s="17" t="str">
        <x:v>Google Search Console Help</x:v>
      </x:c>
      <x:c r="C8" s="17" t="str">
        <x:v>https://support.google.com/webmasters/answer/7440203</x:v>
      </x:c>
      <x:c r="D8" s="17" t="str">
        <x:v>Used for indexing monitoring checklist.</x:v>
      </x:c>
    </x:row>
    <x:row r="9">
      <x:c r="A9" s="17" t="str">
        <x:v>Search Console sitemap</x:v>
      </x:c>
      <x:c r="B9" s="17" t="str">
        <x:v>Google Search Console Help</x:v>
      </x:c>
      <x:c r="C9" s="17" t="str">
        <x:v>https://support.google.com/webmasters/answer/7451001</x:v>
      </x:c>
      <x:c r="D9" s="17" t="str">
        <x:v>Used for sitemap submission workflow.</x:v>
      </x:c>
    </x:row>
    <x:row r="10">
      <x:c r="A10" s="17" t="str">
        <x:v>Search Console performance</x:v>
      </x:c>
      <x:c r="B10" s="17" t="str">
        <x:v>Google Search Console Help</x:v>
      </x:c>
      <x:c r="C10" s="17" t="str">
        <x:v>https://support.google.com/webmasters/answer/10268906</x:v>
      </x:c>
      <x:c r="D10" s="17" t="str">
        <x:v>Clicks, impressions, CTR, and position are the post-launch calibration metrics.</x:v>
      </x:c>
    </x:row>
    <x:row r="11">
      <x:c r="A11" s="17" t="str">
        <x:v>Cloudflare Pages</x:v>
      </x:c>
      <x:c r="B11" s="17" t="str">
        <x:v>Cloudflare Docs</x:v>
      </x:c>
      <x:c r="C11" s="17" t="str">
        <x:v>https://developers.cloudflare.com/pages/configuration/git-integration/github-integration/</x:v>
      </x:c>
      <x:c r="D11" s="17" t="str">
        <x:v>Used for default deployment method.</x:v>
      </x:c>
    </x:row>
    <x:row r="12">
      <x:c r="A12" s="17" t="str">
        <x:v>Cloudflare Web Analytics</x:v>
      </x:c>
      <x:c r="B12" s="17" t="str">
        <x:v>Cloudflare Docs</x:v>
      </x:c>
      <x:c r="C12" s="17" t="str">
        <x:v>https://developers.cloudflare.com/web-analytics/get-started/</x:v>
      </x:c>
      <x:c r="D12" s="17" t="str">
        <x:v>Used for first-party traffic monitoring.</x:v>
      </x:c>
    </x:row>
    <x:row r="14">
      <x:c r="A14" s="67" t="str">
        <x:v>Important caveat</x:v>
      </x:c>
      <x:c r="B14" s="67" t="str"/>
      <x:c r="C14" s="67" t="str"/>
      <x:c r="D14" s="67" t="str"/>
    </x:row>
    <x:row r="15">
      <x:c r="A15" s="17" t="str">
        <x:v>This is a planning model. Use real Cloudflare Web Analytics, Search Console, and AdSense data to overwrite assumptions after 30, 60, and 90 days.</x:v>
      </x:c>
      <x:c r="B15" s="17" t="str"/>
      <x:c r="C15" s="17" t="str"/>
      <x:c r="D15" s="17" t="str"/>
    </x:row>
    <x:row r="16">
      <x:c r="A16" s="17" t="str">
        <x:v>The base case assumes consistent publishing and useful calculators. If content stops, the model will overstate traffic.</x:v>
      </x:c>
      <x:c r="B16" s="17" t="str"/>
      <x:c r="C16" s="17" t="str"/>
      <x:c r="D16" s="17" t="str"/>
    </x:row>
    <x:row r="17">
      <x:c r="A17" s="17" t="str">
        <x:v>The optimistic case assumes the site earns topical authority and the tools match long-tail search intent. Treat it as an upside case, not a plan.</x:v>
      </x:c>
      <x:c r="B17" s="17" t="str"/>
      <x:c r="C17" s="17" t="str"/>
      <x:c r="D17" s="17" t="str"/>
    </x:row>
    <x:row r="18">
      <x:c r="A18" s="17" t="str">
        <x:v>If AdSense is rejected or ads do not serve to a large share of users, revenue becomes zero until fixed.</x:v>
      </x:c>
      <x:c r="B18" s="17" t="str"/>
      <x:c r="C18" s="17" t="str"/>
      <x:c r="D18" s="17" t="str"/>
    </x:row>
    <x:row r="19">
      <x:c r="A19" s="17" t="str">
        <x:v>RPM should be replaced by actual AdSense Page RPM after approval. Do not use third-party RPM claims as hard truth.</x:v>
      </x:c>
      <x:c r="B19" s="17" t="str"/>
      <x:c r="C19" s="17" t="str"/>
      <x:c r="D19" s="17" t="str"/>
    </x:row>
  </x:sheetData>
  <x:pageMargins left="0.7" right="0.7" top="0.75" bottom="0.75" header="0.3" footer="0.3"/>
</x:worksheet>
</file>